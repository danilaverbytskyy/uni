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\7 sem\Теория Игорь\"/>
    </mc:Choice>
  </mc:AlternateContent>
  <bookViews>
    <workbookView xWindow="0" yWindow="0" windowWidth="23040" windowHeight="9192" activeTab="1"/>
  </bookViews>
  <sheets>
    <sheet name="Отчет об устойчивости 1" sheetId="1" r:id="rId1"/>
    <sheet name="Задачи 1 - 3" sheetId="2" r:id="rId2"/>
    <sheet name="ЛР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3" l="1"/>
  <c r="F20" i="3"/>
  <c r="E20" i="3"/>
  <c r="D20" i="3"/>
  <c r="C20" i="3"/>
  <c r="B20" i="3"/>
  <c r="D19" i="3"/>
  <c r="D21" i="3" s="1"/>
  <c r="F12" i="3"/>
  <c r="E12" i="3"/>
  <c r="D12" i="3"/>
  <c r="C12" i="3"/>
  <c r="B12" i="3"/>
  <c r="B13" i="3" s="1"/>
  <c r="G11" i="3"/>
  <c r="G10" i="3"/>
  <c r="G9" i="3"/>
  <c r="G8" i="3"/>
  <c r="G7" i="3"/>
  <c r="G6" i="3"/>
  <c r="G5" i="3"/>
  <c r="G4" i="3"/>
  <c r="H3" i="3" s="1"/>
  <c r="G3" i="3"/>
  <c r="C83" i="2"/>
  <c r="C88" i="2" s="1"/>
  <c r="C78" i="2"/>
  <c r="B78" i="2"/>
  <c r="B79" i="2" s="1"/>
  <c r="D77" i="2"/>
  <c r="D76" i="2"/>
  <c r="D75" i="2"/>
  <c r="D74" i="2"/>
  <c r="E74" i="2" s="1"/>
  <c r="K58" i="2"/>
  <c r="K59" i="2" s="1"/>
  <c r="K56" i="2"/>
  <c r="K57" i="2" s="1"/>
  <c r="K55" i="2"/>
  <c r="K60" i="2" s="1"/>
  <c r="F55" i="2"/>
  <c r="E55" i="2"/>
  <c r="D55" i="2"/>
  <c r="C55" i="2"/>
  <c r="B55" i="2"/>
  <c r="B56" i="2" s="1"/>
  <c r="G54" i="2"/>
  <c r="G53" i="2"/>
  <c r="H53" i="2" s="1"/>
  <c r="C46" i="2"/>
  <c r="C43" i="2"/>
  <c r="C41" i="2"/>
  <c r="C42" i="2" s="1"/>
  <c r="C38" i="2"/>
  <c r="B38" i="2"/>
  <c r="B39" i="2" s="1"/>
  <c r="D37" i="2"/>
  <c r="D36" i="2"/>
  <c r="E36" i="2" s="1"/>
  <c r="C29" i="2"/>
  <c r="F28" i="2"/>
  <c r="F29" i="2" s="1"/>
  <c r="E28" i="2"/>
  <c r="D28" i="2"/>
  <c r="G28" i="2" s="1"/>
  <c r="C28" i="2"/>
  <c r="B28" i="2"/>
  <c r="F27" i="2"/>
  <c r="E27" i="2"/>
  <c r="D27" i="2"/>
  <c r="G27" i="2" s="1"/>
  <c r="C27" i="2"/>
  <c r="B27" i="2"/>
  <c r="F26" i="2"/>
  <c r="E26" i="2"/>
  <c r="D26" i="2"/>
  <c r="C26" i="2"/>
  <c r="B26" i="2"/>
  <c r="G26" i="2" s="1"/>
  <c r="F25" i="2"/>
  <c r="E25" i="2"/>
  <c r="E29" i="2" s="1"/>
  <c r="D25" i="2"/>
  <c r="G25" i="2" s="1"/>
  <c r="C25" i="2"/>
  <c r="B25" i="2"/>
  <c r="B29" i="2" s="1"/>
  <c r="D21" i="2"/>
  <c r="B21" i="2"/>
  <c r="E20" i="2"/>
  <c r="D20" i="2"/>
  <c r="C20" i="2"/>
  <c r="F20" i="2" s="1"/>
  <c r="B20" i="2"/>
  <c r="E19" i="2"/>
  <c r="D19" i="2"/>
  <c r="C19" i="2"/>
  <c r="F19" i="2" s="1"/>
  <c r="B19" i="2"/>
  <c r="E18" i="2"/>
  <c r="D18" i="2"/>
  <c r="C18" i="2"/>
  <c r="F18" i="2" s="1"/>
  <c r="B18" i="2"/>
  <c r="E17" i="2"/>
  <c r="E21" i="2" s="1"/>
  <c r="D17" i="2"/>
  <c r="C17" i="2"/>
  <c r="C21" i="2" s="1"/>
  <c r="B22" i="2" s="1"/>
  <c r="B17" i="2"/>
  <c r="D13" i="2"/>
  <c r="C13" i="2"/>
  <c r="E12" i="2"/>
  <c r="D12" i="2"/>
  <c r="C12" i="2"/>
  <c r="F12" i="2" s="1"/>
  <c r="B12" i="2"/>
  <c r="E11" i="2"/>
  <c r="D11" i="2"/>
  <c r="C11" i="2"/>
  <c r="B11" i="2"/>
  <c r="F11" i="2" s="1"/>
  <c r="E10" i="2"/>
  <c r="D10" i="2"/>
  <c r="C10" i="2"/>
  <c r="B10" i="2"/>
  <c r="F10" i="2" s="1"/>
  <c r="E9" i="2"/>
  <c r="E13" i="2" s="1"/>
  <c r="D9" i="2"/>
  <c r="C9" i="2"/>
  <c r="F9" i="2" s="1"/>
  <c r="G9" i="2" s="1"/>
  <c r="B9" i="2"/>
  <c r="B13" i="2" s="1"/>
  <c r="B29" i="3" l="1"/>
  <c r="B28" i="3"/>
  <c r="J4" i="3"/>
  <c r="B27" i="3"/>
  <c r="J11" i="3"/>
  <c r="J7" i="3"/>
  <c r="J3" i="3"/>
  <c r="J9" i="3"/>
  <c r="J5" i="3"/>
  <c r="J8" i="3"/>
  <c r="B26" i="3"/>
  <c r="B25" i="3"/>
  <c r="J10" i="3"/>
  <c r="J6" i="3"/>
  <c r="H25" i="2"/>
  <c r="B14" i="2"/>
  <c r="C44" i="2"/>
  <c r="C45" i="2"/>
  <c r="D29" i="2"/>
  <c r="B30" i="2" s="1"/>
  <c r="C84" i="2"/>
  <c r="C85" i="2" s="1"/>
  <c r="F17" i="2"/>
  <c r="G17" i="2" s="1"/>
  <c r="C86" i="2"/>
  <c r="C87" i="2" s="1"/>
</calcChain>
</file>

<file path=xl/sharedStrings.xml><?xml version="1.0" encoding="utf-8"?>
<sst xmlns="http://schemas.openxmlformats.org/spreadsheetml/2006/main" count="212" uniqueCount="107">
  <si>
    <t>Microsoft Excel 16.0 Отчет об устойчивости</t>
  </si>
  <si>
    <t>Лист: [Теория игр, лаб1, Вербицкий Данила, Мо42.xlsx]ЛР</t>
  </si>
  <si>
    <t>Ячейки переменных</t>
  </si>
  <si>
    <t>Окончательное</t>
  </si>
  <si>
    <t>Приведенн.</t>
  </si>
  <si>
    <t>Целевая функция</t>
  </si>
  <si>
    <t>Допустимое</t>
  </si>
  <si>
    <t>Ячейка</t>
  </si>
  <si>
    <t>Имя</t>
  </si>
  <si>
    <t>Значение</t>
  </si>
  <si>
    <t>Стоимость</t>
  </si>
  <si>
    <t>Коэффициент</t>
  </si>
  <si>
    <t>Увеличение</t>
  </si>
  <si>
    <t>Уменьшение</t>
  </si>
  <si>
    <t>$I$3</t>
  </si>
  <si>
    <t>A1 X</t>
  </si>
  <si>
    <t>$I$4</t>
  </si>
  <si>
    <t>A2 X</t>
  </si>
  <si>
    <t>$I$5</t>
  </si>
  <si>
    <t>A3 X</t>
  </si>
  <si>
    <t>$I$6</t>
  </si>
  <si>
    <t>A4 X</t>
  </si>
  <si>
    <t>$I$7</t>
  </si>
  <si>
    <t>A5 X</t>
  </si>
  <si>
    <t>$I$8</t>
  </si>
  <si>
    <t>A6 X</t>
  </si>
  <si>
    <t>$I$9</t>
  </si>
  <si>
    <t>A7 X</t>
  </si>
  <si>
    <t>$I$10</t>
  </si>
  <si>
    <t>A8 X</t>
  </si>
  <si>
    <t>$I$11</t>
  </si>
  <si>
    <t>A9 X</t>
  </si>
  <si>
    <t>Ограничения</t>
  </si>
  <si>
    <t>Тень</t>
  </si>
  <si>
    <t>Ограничение</t>
  </si>
  <si>
    <t>Цена</t>
  </si>
  <si>
    <t>Правая сторона</t>
  </si>
  <si>
    <t>$G$16</t>
  </si>
  <si>
    <t>ограничения мин</t>
  </si>
  <si>
    <t>$H$16</t>
  </si>
  <si>
    <t xml:space="preserve">ограничения F(x) = </t>
  </si>
  <si>
    <t>$I$16</t>
  </si>
  <si>
    <t>ограничения X</t>
  </si>
  <si>
    <t>$J$16</t>
  </si>
  <si>
    <t>ограничения</t>
  </si>
  <si>
    <t>$K$16</t>
  </si>
  <si>
    <t>Вариант 2</t>
  </si>
  <si>
    <t>Задание 1</t>
  </si>
  <si>
    <t>s=</t>
  </si>
  <si>
    <t>t=</t>
  </si>
  <si>
    <t>u=</t>
  </si>
  <si>
    <t>v=</t>
  </si>
  <si>
    <t>B1</t>
  </si>
  <si>
    <t>B2</t>
  </si>
  <si>
    <t>B3</t>
  </si>
  <si>
    <t>B4</t>
  </si>
  <si>
    <t>мин</t>
  </si>
  <si>
    <t>макс=a</t>
  </si>
  <si>
    <t xml:space="preserve">  Седловая точка v = 14, (A1, B1)</t>
  </si>
  <si>
    <t>A1</t>
  </si>
  <si>
    <t>A2</t>
  </si>
  <si>
    <t>A3</t>
  </si>
  <si>
    <t>A4</t>
  </si>
  <si>
    <t>макс</t>
  </si>
  <si>
    <t>мин=b</t>
  </si>
  <si>
    <t>Итог</t>
  </si>
  <si>
    <t>a=b</t>
  </si>
  <si>
    <t>Нет седловой точки</t>
  </si>
  <si>
    <t>a!=b</t>
  </si>
  <si>
    <t>B5</t>
  </si>
  <si>
    <t>Задание 2</t>
  </si>
  <si>
    <t>макс=а</t>
  </si>
  <si>
    <t>d=c11+c22-c12-c21</t>
  </si>
  <si>
    <t>p1</t>
  </si>
  <si>
    <t>p2</t>
  </si>
  <si>
    <t>Итог:</t>
  </si>
  <si>
    <t>q1</t>
  </si>
  <si>
    <t>Sa=</t>
  </si>
  <si>
    <t>(0,75; 0,25)</t>
  </si>
  <si>
    <t>q2</t>
  </si>
  <si>
    <t>Sb=</t>
  </si>
  <si>
    <t>(0,5; 0,5)</t>
  </si>
  <si>
    <t>v=(a11*a22-a12*a21)/d</t>
  </si>
  <si>
    <t>Задание 3 а</t>
  </si>
  <si>
    <t>А1</t>
  </si>
  <si>
    <t>delt</t>
  </si>
  <si>
    <t>v</t>
  </si>
  <si>
    <t>(0; 0; 0; 0,75; 0,25)</t>
  </si>
  <si>
    <t>Задание 3 б</t>
  </si>
  <si>
    <t>X</t>
  </si>
  <si>
    <t>A5</t>
  </si>
  <si>
    <t>A6</t>
  </si>
  <si>
    <t>A7</t>
  </si>
  <si>
    <t>A8</t>
  </si>
  <si>
    <t>A9</t>
  </si>
  <si>
    <t>Нижняя цена игры = a</t>
  </si>
  <si>
    <t>Предприятие может выпускать несколько видов продукции: A1, A2, A3, …, получая при этом прибыль. Величина прибыли определяется состоянием спроса («природой» рынка), который может находиться в одном из нескольких возможных состояний: B1, B2, B3, … Зависимость величины прибыли от вида выпускаемой продукции и состояния рынка представлена в платежных матрицах.</t>
  </si>
  <si>
    <t>Верхняя цена игры=b</t>
  </si>
  <si>
    <t>Задача первого игрока</t>
  </si>
  <si>
    <t xml:space="preserve">F(x) = </t>
  </si>
  <si>
    <t>Цена игры</t>
  </si>
  <si>
    <t>q=</t>
  </si>
  <si>
    <t>Задача второго игрока</t>
  </si>
  <si>
    <t>Тень цена</t>
  </si>
  <si>
    <t>целевая функция=</t>
  </si>
  <si>
    <t>F(x)=</t>
  </si>
  <si>
    <t>Вывод. В соответствии с полученными результатами предприятию гарантирован средний доход в размере 711,335 единиц при самых неблагоприятных условиях. Оптимальная стратегия для предприятия - производство продукций А1, А2, А6, причем делать это в пропорциях 0,70 : 0,234 : 0,064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</si>
</sst>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0" xfId="0" applyBorder="1"/>
    <xf numFmtId="0" fontId="0" fillId="0" borderId="13" xfId="0" applyBorder="1"/>
    <xf numFmtId="0" fontId="0" fillId="0" borderId="12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right"/>
    </xf>
    <xf numFmtId="0" fontId="0" fillId="0" borderId="19" xfId="0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 applyAlignment="1"/>
    <xf numFmtId="0" fontId="0" fillId="0" borderId="0" xfId="0" applyBorder="1" applyAlignment="1"/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/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right"/>
    </xf>
    <xf numFmtId="0" fontId="0" fillId="0" borderId="24" xfId="0" applyBorder="1"/>
    <xf numFmtId="0" fontId="1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2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4" xfId="0" applyFont="1" applyBorder="1"/>
    <xf numFmtId="0" fontId="0" fillId="0" borderId="15" xfId="0" applyFont="1" applyBorder="1"/>
    <xf numFmtId="0" fontId="0" fillId="0" borderId="0" xfId="0" applyFont="1" applyBorder="1"/>
    <xf numFmtId="0" fontId="0" fillId="0" borderId="12" xfId="0" applyFont="1" applyBorder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4" xfId="0" applyFont="1" applyBorder="1"/>
    <xf numFmtId="0" fontId="0" fillId="0" borderId="24" xfId="0" applyFont="1" applyBorder="1" applyAlignment="1">
      <alignment horizontal="right"/>
    </xf>
    <xf numFmtId="0" fontId="0" fillId="0" borderId="24" xfId="0" applyFont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/>
    <xf numFmtId="0" fontId="0" fillId="0" borderId="29" xfId="0" applyBorder="1"/>
    <xf numFmtId="0" fontId="0" fillId="0" borderId="0" xfId="0" applyFont="1" applyAlignment="1">
      <alignment horizontal="center"/>
    </xf>
    <xf numFmtId="0" fontId="0" fillId="0" borderId="13" xfId="0" applyFont="1" applyBorder="1"/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23" xfId="0" applyBorder="1"/>
    <xf numFmtId="0" fontId="0" fillId="0" borderId="27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506282222840684E-2"/>
          <c:y val="0.21525716896924363"/>
          <c:w val="0.92898743555431862"/>
          <c:h val="0.5767317700200208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[1]Лист1!$B$36:$B$37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3-4FB9-A850-2BC6CF2FB588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[1]Лист1!$C$36:$C$37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F3-4FB9-A850-2BC6CF2FB5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3786512"/>
        <c:axId val="533787592"/>
      </c:lineChart>
      <c:catAx>
        <c:axId val="533786512"/>
        <c:scaling>
          <c:orientation val="minMax"/>
        </c:scaling>
        <c:delete val="1"/>
        <c:axPos val="b"/>
        <c:majorTickMark val="none"/>
        <c:minorTickMark val="none"/>
        <c:tickLblPos val="nextTo"/>
        <c:crossAx val="533787592"/>
        <c:crosses val="autoZero"/>
        <c:auto val="1"/>
        <c:lblAlgn val="ctr"/>
        <c:lblOffset val="100"/>
        <c:noMultiLvlLbl val="0"/>
      </c:catAx>
      <c:valAx>
        <c:axId val="533787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378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44444444444446E-2"/>
          <c:y val="8.3333333333333329E-2"/>
          <c:w val="0.93888888888888888"/>
          <c:h val="0.792244823563721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[1]Лист1!$B$52:$F$52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[1]Лист1!$B$53:$B$54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4-4E9A-8945-3B90DD2C54C2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[1]Лист1!$B$52:$F$52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[1]Лист1!$C$53:$C$54</c:f>
              <c:numCache>
                <c:formatCode>General</c:formatCode>
                <c:ptCount val="2"/>
                <c:pt idx="0">
                  <c:v>9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4-4E9A-8945-3B90DD2C54C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[1]Лист1!$B$52:$F$52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[1]Лист1!$D$53:$D$54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4-4E9A-8945-3B90DD2C54C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[1]Лист1!$B$52:$F$52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[1]Лист1!$E$53:$E$54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4-4E9A-8945-3B90DD2C54C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[1]Лист1!$B$52:$F$52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[1]Лист1!$F$53:$F$54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4-4E9A-8945-3B90DD2C54C2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0547256"/>
        <c:axId val="530548336"/>
      </c:lineChart>
      <c:catAx>
        <c:axId val="530547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0548336"/>
        <c:crosses val="autoZero"/>
        <c:auto val="1"/>
        <c:lblAlgn val="ctr"/>
        <c:lblOffset val="100"/>
        <c:noMultiLvlLbl val="0"/>
      </c:catAx>
      <c:valAx>
        <c:axId val="530548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054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[1]Лист1!$A$74</c:f>
              <c:strCache>
                <c:ptCount val="1"/>
                <c:pt idx="0">
                  <c:v>А1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[1]Лист1!$B$74:$C$74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6-41D1-B79F-F9313371C3BD}"/>
            </c:ext>
          </c:extLst>
        </c:ser>
        <c:ser>
          <c:idx val="1"/>
          <c:order val="1"/>
          <c:tx>
            <c:strRef>
              <c:f>[1]Лист1!$A$75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[1]Лист1!$B$75:$C$75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6-41D1-B79F-F9313371C3BD}"/>
            </c:ext>
          </c:extLst>
        </c:ser>
        <c:ser>
          <c:idx val="2"/>
          <c:order val="2"/>
          <c:tx>
            <c:strRef>
              <c:f>[1]Лист1!$A$76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[1]Лист1!$B$76:$C$76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6-41D1-B79F-F9313371C3BD}"/>
            </c:ext>
          </c:extLst>
        </c:ser>
        <c:ser>
          <c:idx val="3"/>
          <c:order val="3"/>
          <c:tx>
            <c:strRef>
              <c:f>[1]Лист1!$A$77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[1]Лист1!$B$77:$C$77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6-41D1-B79F-F9313371C3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7362320"/>
        <c:axId val="717360520"/>
      </c:lineChart>
      <c:catAx>
        <c:axId val="717362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7360520"/>
        <c:crosses val="autoZero"/>
        <c:auto val="1"/>
        <c:lblAlgn val="ctr"/>
        <c:lblOffset val="100"/>
        <c:noMultiLvlLbl val="0"/>
      </c:catAx>
      <c:valAx>
        <c:axId val="717360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73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537882</xdr:colOff>
      <xdr:row>33</xdr:row>
      <xdr:rowOff>46211</xdr:rowOff>
    </xdr:from>
    <xdr:to>
      <xdr:col>12</xdr:col>
      <xdr:colOff>697049</xdr:colOff>
      <xdr:row>45</xdr:row>
      <xdr:rowOff>143436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E54019-18E0-720A-D5F4-38CF7154A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57</xdr:row>
      <xdr:rowOff>116541</xdr:rowOff>
    </xdr:from>
    <xdr:to>
      <xdr:col>6</xdr:col>
      <xdr:colOff>286870</xdr:colOff>
      <xdr:row>70</xdr:row>
      <xdr:rowOff>79771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1208E4-9147-F7C4-A82F-8A9C03889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552800</xdr:colOff>
      <xdr:row>77</xdr:row>
      <xdr:rowOff>42304</xdr:rowOff>
    </xdr:from>
    <xdr:to>
      <xdr:col>11</xdr:col>
      <xdr:colOff>499748</xdr:colOff>
      <xdr:row>91</xdr:row>
      <xdr:rowOff>118503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47FC093-5A8C-9B34-E934-EA482324E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2;&#1077;&#1088;&#1073;&#1080;&#1094;&#1082;&#1080;&#1081;%20&#1044;&#1072;&#1085;&#1080;&#1083;&#1072;%20&#1052;&#1054;42.2%20&#1044;&#104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 об устойчивости 1"/>
      <sheetName val="Лист1"/>
      <sheetName val="ЛР"/>
    </sheetNames>
    <sheetDataSet>
      <sheetData sheetId="0" refreshError="1"/>
      <sheetData sheetId="1">
        <row r="36">
          <cell r="B36">
            <v>3</v>
          </cell>
          <cell r="C36">
            <v>2</v>
          </cell>
        </row>
        <row r="37">
          <cell r="B37">
            <v>1</v>
          </cell>
          <cell r="C37">
            <v>4</v>
          </cell>
        </row>
        <row r="52">
          <cell r="B52" t="str">
            <v>B1</v>
          </cell>
          <cell r="C52" t="str">
            <v>B2</v>
          </cell>
          <cell r="D52" t="str">
            <v>B3</v>
          </cell>
          <cell r="E52" t="str">
            <v>B4</v>
          </cell>
          <cell r="F52" t="str">
            <v>B5</v>
          </cell>
        </row>
        <row r="53">
          <cell r="B53">
            <v>5</v>
          </cell>
          <cell r="C53">
            <v>9</v>
          </cell>
          <cell r="D53">
            <v>6</v>
          </cell>
          <cell r="E53">
            <v>3</v>
          </cell>
          <cell r="F53">
            <v>1</v>
          </cell>
        </row>
        <row r="54">
          <cell r="B54">
            <v>3</v>
          </cell>
          <cell r="C54">
            <v>5</v>
          </cell>
          <cell r="D54">
            <v>7</v>
          </cell>
          <cell r="E54">
            <v>2</v>
          </cell>
          <cell r="F54">
            <v>4</v>
          </cell>
        </row>
        <row r="74">
          <cell r="A74" t="str">
            <v>А1</v>
          </cell>
          <cell r="B74">
            <v>1</v>
          </cell>
          <cell r="C74">
            <v>4</v>
          </cell>
        </row>
        <row r="75">
          <cell r="A75" t="str">
            <v>A2</v>
          </cell>
          <cell r="B75">
            <v>3</v>
          </cell>
          <cell r="C75">
            <v>6</v>
          </cell>
        </row>
        <row r="76">
          <cell r="A76" t="str">
            <v>A3</v>
          </cell>
          <cell r="B76">
            <v>5</v>
          </cell>
          <cell r="C76">
            <v>2</v>
          </cell>
        </row>
        <row r="77">
          <cell r="A77" t="str">
            <v>A4</v>
          </cell>
          <cell r="B77">
            <v>4</v>
          </cell>
          <cell r="C77">
            <v>3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D26" sqref="D26"/>
    </sheetView>
  </sheetViews>
  <sheetFormatPr defaultRowHeight="14.4" x14ac:dyDescent="0.3"/>
  <cols>
    <col min="1" max="1" width="2.33203125" customWidth="1"/>
    <col min="2" max="2" width="7.21875" bestFit="1" customWidth="1"/>
    <col min="3" max="3" width="17.5546875" bestFit="1" customWidth="1"/>
    <col min="4" max="4" width="14.6640625" bestFit="1" customWidth="1"/>
    <col min="5" max="5" width="12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1" t="s">
        <v>0</v>
      </c>
    </row>
    <row r="2" spans="1:8" x14ac:dyDescent="0.3">
      <c r="A2" s="1" t="s">
        <v>1</v>
      </c>
    </row>
    <row r="3" spans="1:8" x14ac:dyDescent="0.3">
      <c r="A3" s="1"/>
    </row>
    <row r="4" spans="1:8" ht="15" thickBot="1" x14ac:dyDescent="0.35">
      <c r="A4" t="s">
        <v>2</v>
      </c>
    </row>
    <row r="5" spans="1:8" x14ac:dyDescent="0.3">
      <c r="B5" s="2"/>
      <c r="C5" s="2"/>
      <c r="D5" s="2" t="s">
        <v>3</v>
      </c>
      <c r="E5" s="2" t="s">
        <v>4</v>
      </c>
      <c r="F5" s="2" t="s">
        <v>5</v>
      </c>
      <c r="G5" s="2" t="s">
        <v>6</v>
      </c>
      <c r="H5" s="2" t="s">
        <v>6</v>
      </c>
    </row>
    <row r="6" spans="1:8" ht="15" thickBot="1" x14ac:dyDescent="0.35"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</row>
    <row r="7" spans="1:8" x14ac:dyDescent="0.3">
      <c r="B7" s="4" t="s">
        <v>14</v>
      </c>
      <c r="C7" s="4" t="s">
        <v>15</v>
      </c>
      <c r="D7" s="4">
        <v>9.8661782429223187E-4</v>
      </c>
      <c r="E7" s="4">
        <v>0</v>
      </c>
      <c r="F7" s="4">
        <v>1</v>
      </c>
      <c r="G7" s="4">
        <v>1.1523629237174893E-4</v>
      </c>
      <c r="H7" s="4">
        <v>0.15038663125484769</v>
      </c>
    </row>
    <row r="8" spans="1:8" x14ac:dyDescent="0.3">
      <c r="B8" s="4" t="s">
        <v>16</v>
      </c>
      <c r="C8" s="4" t="s">
        <v>17</v>
      </c>
      <c r="D8" s="4">
        <v>3.2932174517955786E-4</v>
      </c>
      <c r="E8" s="4">
        <v>0</v>
      </c>
      <c r="F8" s="4">
        <v>1</v>
      </c>
      <c r="G8" s="4">
        <v>0.25779093894160077</v>
      </c>
      <c r="H8" s="4">
        <v>3.3629605671319879E-4</v>
      </c>
    </row>
    <row r="9" spans="1:8" x14ac:dyDescent="0.3">
      <c r="B9" s="4" t="s">
        <v>18</v>
      </c>
      <c r="C9" s="4" t="s">
        <v>19</v>
      </c>
      <c r="D9" s="4">
        <v>0</v>
      </c>
      <c r="E9" s="4">
        <v>0.24419494932999847</v>
      </c>
      <c r="F9" s="4">
        <v>1</v>
      </c>
      <c r="G9" s="4">
        <v>1E+30</v>
      </c>
      <c r="H9" s="4">
        <v>0.24419494932999847</v>
      </c>
    </row>
    <row r="10" spans="1:8" x14ac:dyDescent="0.3">
      <c r="B10" s="4" t="s">
        <v>20</v>
      </c>
      <c r="C10" s="4" t="s">
        <v>21</v>
      </c>
      <c r="D10" s="4">
        <v>0</v>
      </c>
      <c r="E10" s="4">
        <v>0.59988343930281673</v>
      </c>
      <c r="F10" s="4">
        <v>1</v>
      </c>
      <c r="G10" s="4">
        <v>1E+30</v>
      </c>
      <c r="H10" s="4">
        <v>0.59988343930281673</v>
      </c>
    </row>
    <row r="11" spans="1:8" x14ac:dyDescent="0.3">
      <c r="B11" s="4" t="s">
        <v>22</v>
      </c>
      <c r="C11" s="4" t="s">
        <v>23</v>
      </c>
      <c r="D11" s="4">
        <v>0</v>
      </c>
      <c r="E11" s="4">
        <v>0.25302294720753721</v>
      </c>
      <c r="F11" s="4">
        <v>1</v>
      </c>
      <c r="G11" s="4">
        <v>1E+30</v>
      </c>
      <c r="H11" s="4">
        <v>0.25302294720753721</v>
      </c>
    </row>
    <row r="12" spans="1:8" x14ac:dyDescent="0.3">
      <c r="B12" s="4" t="s">
        <v>24</v>
      </c>
      <c r="C12" s="4" t="s">
        <v>25</v>
      </c>
      <c r="D12" s="4">
        <v>8.9867517954675866E-5</v>
      </c>
      <c r="E12" s="4">
        <v>0</v>
      </c>
      <c r="F12" s="4">
        <v>1</v>
      </c>
      <c r="G12" s="4">
        <v>2.7451846840596659E-4</v>
      </c>
      <c r="H12" s="4">
        <v>0.16202214695634043</v>
      </c>
    </row>
    <row r="13" spans="1:8" x14ac:dyDescent="0.3">
      <c r="B13" s="4" t="s">
        <v>26</v>
      </c>
      <c r="C13" s="4" t="s">
        <v>27</v>
      </c>
      <c r="D13" s="4">
        <v>0</v>
      </c>
      <c r="E13" s="4">
        <v>0.14859121296823638</v>
      </c>
      <c r="F13" s="4">
        <v>1</v>
      </c>
      <c r="G13" s="4">
        <v>1E+30</v>
      </c>
      <c r="H13" s="4">
        <v>0.14859121296823638</v>
      </c>
    </row>
    <row r="14" spans="1:8" x14ac:dyDescent="0.3">
      <c r="B14" s="4" t="s">
        <v>28</v>
      </c>
      <c r="C14" s="4" t="s">
        <v>29</v>
      </c>
      <c r="D14" s="4">
        <v>0</v>
      </c>
      <c r="E14" s="4">
        <v>7.8179760011139271E-2</v>
      </c>
      <c r="F14" s="4">
        <v>1</v>
      </c>
      <c r="G14" s="4">
        <v>1E+30</v>
      </c>
      <c r="H14" s="4">
        <v>7.8179760011139271E-2</v>
      </c>
    </row>
    <row r="15" spans="1:8" ht="15" thickBot="1" x14ac:dyDescent="0.35">
      <c r="B15" s="5" t="s">
        <v>30</v>
      </c>
      <c r="C15" s="5" t="s">
        <v>31</v>
      </c>
      <c r="D15" s="5">
        <v>0</v>
      </c>
      <c r="E15" s="5">
        <v>1.0697482860148183E-4</v>
      </c>
      <c r="F15" s="5">
        <v>1</v>
      </c>
      <c r="G15" s="5">
        <v>1E+30</v>
      </c>
      <c r="H15" s="5">
        <v>1.0697482860148183E-4</v>
      </c>
    </row>
    <row r="17" spans="1:8" ht="15" thickBot="1" x14ac:dyDescent="0.35">
      <c r="A17" t="s">
        <v>32</v>
      </c>
    </row>
    <row r="18" spans="1:8" x14ac:dyDescent="0.3">
      <c r="B18" s="2"/>
      <c r="C18" s="2"/>
      <c r="D18" s="2" t="s">
        <v>3</v>
      </c>
      <c r="E18" s="2" t="s">
        <v>33</v>
      </c>
      <c r="F18" s="2" t="s">
        <v>34</v>
      </c>
      <c r="G18" s="2" t="s">
        <v>6</v>
      </c>
      <c r="H18" s="2" t="s">
        <v>6</v>
      </c>
    </row>
    <row r="19" spans="1:8" ht="15" thickBot="1" x14ac:dyDescent="0.35">
      <c r="B19" s="3" t="s">
        <v>7</v>
      </c>
      <c r="C19" s="3" t="s">
        <v>8</v>
      </c>
      <c r="D19" s="3" t="s">
        <v>9</v>
      </c>
      <c r="E19" s="3" t="s">
        <v>35</v>
      </c>
      <c r="F19" s="3" t="s">
        <v>36</v>
      </c>
      <c r="G19" s="3" t="s">
        <v>12</v>
      </c>
      <c r="H19" s="3" t="s">
        <v>13</v>
      </c>
    </row>
    <row r="20" spans="1:8" x14ac:dyDescent="0.3">
      <c r="B20" s="4" t="s">
        <v>37</v>
      </c>
      <c r="C20" s="4" t="s">
        <v>38</v>
      </c>
      <c r="D20" s="4">
        <v>0.99999999999999967</v>
      </c>
      <c r="E20" s="4">
        <v>1.5057320678992317E-4</v>
      </c>
      <c r="F20" s="4">
        <v>1</v>
      </c>
      <c r="G20" s="4">
        <v>6.0280502041628756E-2</v>
      </c>
      <c r="H20" s="4">
        <v>0.19133960088071844</v>
      </c>
    </row>
    <row r="21" spans="1:8" x14ac:dyDescent="0.3">
      <c r="B21" s="4" t="s">
        <v>39</v>
      </c>
      <c r="C21" s="4" t="s">
        <v>40</v>
      </c>
      <c r="D21" s="4">
        <v>0.99999999999999978</v>
      </c>
      <c r="E21" s="4">
        <v>9.4732634990937065E-4</v>
      </c>
      <c r="F21" s="4">
        <v>1</v>
      </c>
      <c r="G21" s="4">
        <v>1.0056448217650595</v>
      </c>
      <c r="H21" s="4">
        <v>1.5945509865608935E-2</v>
      </c>
    </row>
    <row r="22" spans="1:8" x14ac:dyDescent="0.3">
      <c r="B22" s="4" t="s">
        <v>41</v>
      </c>
      <c r="C22" s="4" t="s">
        <v>42</v>
      </c>
      <c r="D22" s="4">
        <v>1.0180246089746394</v>
      </c>
      <c r="E22" s="4">
        <v>0</v>
      </c>
      <c r="F22" s="4">
        <v>1</v>
      </c>
      <c r="G22" s="4">
        <v>1.8024608974639519E-2</v>
      </c>
      <c r="H22" s="4">
        <v>1E+30</v>
      </c>
    </row>
    <row r="23" spans="1:8" x14ac:dyDescent="0.3">
      <c r="B23" s="4" t="s">
        <v>43</v>
      </c>
      <c r="C23" s="4" t="s">
        <v>44</v>
      </c>
      <c r="D23" s="4">
        <v>0.99999999999999989</v>
      </c>
      <c r="E23" s="4">
        <v>3.0790753072717223E-4</v>
      </c>
      <c r="F23" s="4">
        <v>1</v>
      </c>
      <c r="G23" s="4">
        <v>0.16485699152542374</v>
      </c>
      <c r="H23" s="4">
        <v>0.10159736427638623</v>
      </c>
    </row>
    <row r="24" spans="1:8" ht="15" thickBot="1" x14ac:dyDescent="0.35">
      <c r="B24" s="5" t="s">
        <v>45</v>
      </c>
      <c r="C24" s="5" t="s">
        <v>44</v>
      </c>
      <c r="D24" s="5">
        <v>1.2964797269105379</v>
      </c>
      <c r="E24" s="5">
        <v>0</v>
      </c>
      <c r="F24" s="5">
        <v>1</v>
      </c>
      <c r="G24" s="5">
        <v>0.29647972691053837</v>
      </c>
      <c r="H24" s="5">
        <v>1E+30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topLeftCell="A10" workbookViewId="0">
      <selection activeCell="F32" sqref="F32"/>
    </sheetView>
  </sheetViews>
  <sheetFormatPr defaultRowHeight="14.4" x14ac:dyDescent="0.3"/>
  <cols>
    <col min="7" max="7" width="8.88671875" customWidth="1"/>
    <col min="10" max="10" width="12.88671875" customWidth="1"/>
    <col min="13" max="14" width="11.44140625" customWidth="1"/>
    <col min="18" max="18" width="11.44140625" customWidth="1"/>
  </cols>
  <sheetData>
    <row r="1" spans="1:11" ht="15" thickBot="1" x14ac:dyDescent="0.35">
      <c r="A1" s="6" t="s">
        <v>46</v>
      </c>
      <c r="B1" s="7"/>
    </row>
    <row r="2" spans="1:11" x14ac:dyDescent="0.3">
      <c r="A2" s="8" t="s">
        <v>47</v>
      </c>
      <c r="B2" s="9"/>
      <c r="C2" s="9"/>
      <c r="D2" s="9"/>
      <c r="E2" s="10"/>
      <c r="F2" s="11"/>
      <c r="G2" s="11"/>
      <c r="H2" s="11"/>
      <c r="I2" s="11"/>
      <c r="J2" s="11"/>
      <c r="K2" s="12"/>
    </row>
    <row r="3" spans="1:11" x14ac:dyDescent="0.3">
      <c r="A3" s="13" t="s">
        <v>48</v>
      </c>
      <c r="B3" s="14">
        <v>1</v>
      </c>
      <c r="C3" s="14"/>
      <c r="D3" s="14"/>
      <c r="E3" s="14"/>
      <c r="F3" s="14"/>
      <c r="G3" s="14"/>
      <c r="H3" s="14"/>
      <c r="I3" s="14"/>
      <c r="J3" s="14"/>
      <c r="K3" s="15"/>
    </row>
    <row r="4" spans="1:11" x14ac:dyDescent="0.3">
      <c r="A4" s="13" t="s">
        <v>49</v>
      </c>
      <c r="B4" s="14">
        <v>2</v>
      </c>
      <c r="C4" s="14"/>
      <c r="D4" s="14"/>
      <c r="E4" s="14"/>
      <c r="F4" s="14"/>
      <c r="G4" s="14"/>
      <c r="H4" s="14"/>
      <c r="I4" s="14"/>
      <c r="J4" s="14"/>
      <c r="K4" s="15"/>
    </row>
    <row r="5" spans="1:11" x14ac:dyDescent="0.3">
      <c r="A5" s="13" t="s">
        <v>50</v>
      </c>
      <c r="B5" s="14">
        <v>3</v>
      </c>
      <c r="C5" s="14"/>
      <c r="D5" s="14"/>
      <c r="E5" s="14"/>
      <c r="F5" s="14"/>
      <c r="G5" s="14"/>
      <c r="H5" s="14"/>
      <c r="I5" s="14"/>
      <c r="J5" s="14"/>
      <c r="K5" s="15"/>
    </row>
    <row r="6" spans="1:11" x14ac:dyDescent="0.3">
      <c r="A6" s="13" t="s">
        <v>51</v>
      </c>
      <c r="B6" s="14">
        <v>3</v>
      </c>
      <c r="C6" s="14"/>
      <c r="D6" s="14"/>
      <c r="E6" s="14"/>
      <c r="F6" s="14"/>
      <c r="G6" s="14"/>
      <c r="H6" s="14"/>
      <c r="I6" s="14"/>
      <c r="J6" s="14"/>
      <c r="K6" s="15"/>
    </row>
    <row r="7" spans="1:11" x14ac:dyDescent="0.3">
      <c r="A7" s="16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spans="1:11" x14ac:dyDescent="0.3">
      <c r="A8" s="17"/>
      <c r="B8" s="18" t="s">
        <v>52</v>
      </c>
      <c r="C8" s="18" t="s">
        <v>53</v>
      </c>
      <c r="D8" s="18" t="s">
        <v>54</v>
      </c>
      <c r="E8" s="18" t="s">
        <v>55</v>
      </c>
      <c r="F8" s="19" t="s">
        <v>56</v>
      </c>
      <c r="G8" s="20" t="s">
        <v>57</v>
      </c>
      <c r="H8" s="14" t="s">
        <v>58</v>
      </c>
      <c r="I8" s="14"/>
      <c r="J8" s="14"/>
      <c r="K8" s="15"/>
    </row>
    <row r="9" spans="1:11" x14ac:dyDescent="0.3">
      <c r="A9" s="17" t="s">
        <v>59</v>
      </c>
      <c r="B9" s="18">
        <f>12+$B$4</f>
        <v>14</v>
      </c>
      <c r="C9" s="18">
        <f>20+B6</f>
        <v>23</v>
      </c>
      <c r="D9" s="18">
        <f>15+B5</f>
        <v>18</v>
      </c>
      <c r="E9" s="18">
        <f>12+B4</f>
        <v>14</v>
      </c>
      <c r="F9" s="14">
        <f>MIN(A9:E9)</f>
        <v>14</v>
      </c>
      <c r="G9" s="21">
        <f>MAX(F9:F12)</f>
        <v>14</v>
      </c>
      <c r="H9" s="14"/>
      <c r="I9" s="14"/>
      <c r="J9" s="14"/>
      <c r="K9" s="15"/>
    </row>
    <row r="10" spans="1:11" x14ac:dyDescent="0.3">
      <c r="A10" s="17" t="s">
        <v>60</v>
      </c>
      <c r="B10" s="18">
        <f>12+$B$4</f>
        <v>14</v>
      </c>
      <c r="C10" s="18">
        <f>15+B5</f>
        <v>18</v>
      </c>
      <c r="D10" s="18">
        <f>7+B6</f>
        <v>10</v>
      </c>
      <c r="E10" s="18">
        <f>3+B5</f>
        <v>6</v>
      </c>
      <c r="F10" s="14">
        <f t="shared" ref="F10:F12" si="0">MIN(A10:E10)</f>
        <v>6</v>
      </c>
      <c r="G10" s="21"/>
      <c r="H10" s="14"/>
      <c r="I10" s="14"/>
      <c r="J10" s="14"/>
      <c r="K10" s="15"/>
    </row>
    <row r="11" spans="1:11" x14ac:dyDescent="0.3">
      <c r="A11" s="17" t="s">
        <v>61</v>
      </c>
      <c r="B11" s="18">
        <f>3+B5</f>
        <v>6</v>
      </c>
      <c r="C11" s="18">
        <f>3+B5</f>
        <v>6</v>
      </c>
      <c r="D11" s="18">
        <f>12+B4</f>
        <v>14</v>
      </c>
      <c r="E11" s="18">
        <f>15+B5</f>
        <v>18</v>
      </c>
      <c r="F11" s="14">
        <f t="shared" si="0"/>
        <v>6</v>
      </c>
      <c r="G11" s="21"/>
      <c r="H11" s="14"/>
      <c r="I11" s="14"/>
      <c r="J11" s="14"/>
      <c r="K11" s="15"/>
    </row>
    <row r="12" spans="1:11" x14ac:dyDescent="0.3">
      <c r="A12" s="17" t="s">
        <v>62</v>
      </c>
      <c r="B12" s="18">
        <f>B3</f>
        <v>1</v>
      </c>
      <c r="C12" s="18">
        <f>20+B6</f>
        <v>23</v>
      </c>
      <c r="D12" s="18">
        <f>7+B6</f>
        <v>10</v>
      </c>
      <c r="E12" s="18">
        <f>B6+7</f>
        <v>10</v>
      </c>
      <c r="F12" s="14">
        <f t="shared" si="0"/>
        <v>1</v>
      </c>
      <c r="G12" s="21"/>
      <c r="H12" s="14"/>
      <c r="I12" s="14"/>
      <c r="J12" s="14"/>
      <c r="K12" s="15"/>
    </row>
    <row r="13" spans="1:11" x14ac:dyDescent="0.3">
      <c r="A13" s="13" t="s">
        <v>63</v>
      </c>
      <c r="B13" s="14">
        <f>MAX(B9:B12)</f>
        <v>14</v>
      </c>
      <c r="C13" s="14">
        <f t="shared" ref="C13:E13" si="1">MAX(C9:C12)</f>
        <v>23</v>
      </c>
      <c r="D13" s="14">
        <f t="shared" si="1"/>
        <v>18</v>
      </c>
      <c r="E13" s="14">
        <f t="shared" si="1"/>
        <v>18</v>
      </c>
      <c r="F13" s="14"/>
      <c r="G13" s="21"/>
      <c r="H13" s="14"/>
      <c r="I13" s="14"/>
      <c r="J13" s="14"/>
      <c r="K13" s="15"/>
    </row>
    <row r="14" spans="1:11" x14ac:dyDescent="0.3">
      <c r="A14" s="22" t="s">
        <v>64</v>
      </c>
      <c r="B14" s="23">
        <f>MIN(B13:E13)</f>
        <v>14</v>
      </c>
      <c r="C14" s="23"/>
      <c r="D14" s="23"/>
      <c r="E14" s="23"/>
      <c r="F14" s="24" t="s">
        <v>65</v>
      </c>
      <c r="G14" s="25" t="s">
        <v>66</v>
      </c>
      <c r="H14" s="26"/>
      <c r="I14" s="27"/>
      <c r="J14" s="27"/>
      <c r="K14" s="15"/>
    </row>
    <row r="15" spans="1:11" x14ac:dyDescent="0.3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5"/>
    </row>
    <row r="16" spans="1:11" x14ac:dyDescent="0.3">
      <c r="A16" s="17"/>
      <c r="B16" s="18" t="s">
        <v>52</v>
      </c>
      <c r="C16" s="18" t="s">
        <v>53</v>
      </c>
      <c r="D16" s="18" t="s">
        <v>54</v>
      </c>
      <c r="E16" s="18" t="s">
        <v>55</v>
      </c>
      <c r="F16" s="19" t="s">
        <v>56</v>
      </c>
      <c r="G16" s="20" t="s">
        <v>57</v>
      </c>
      <c r="H16" s="28" t="s">
        <v>67</v>
      </c>
      <c r="I16" s="29"/>
      <c r="J16" s="29"/>
      <c r="K16" s="15"/>
    </row>
    <row r="17" spans="1:12" x14ac:dyDescent="0.3">
      <c r="A17" s="17" t="s">
        <v>59</v>
      </c>
      <c r="B17" s="18">
        <f>4+B6</f>
        <v>7</v>
      </c>
      <c r="C17" s="18">
        <f>8+B4</f>
        <v>10</v>
      </c>
      <c r="D17" s="18">
        <f>B3</f>
        <v>1</v>
      </c>
      <c r="E17" s="18">
        <f>11+B5</f>
        <v>14</v>
      </c>
      <c r="F17" s="14">
        <f>MIN(A17:E17)</f>
        <v>1</v>
      </c>
      <c r="G17" s="21">
        <f>MAX(F17:F20)</f>
        <v>7</v>
      </c>
      <c r="H17" s="14"/>
      <c r="I17" s="14"/>
      <c r="J17" s="14"/>
      <c r="K17" s="15"/>
    </row>
    <row r="18" spans="1:12" x14ac:dyDescent="0.3">
      <c r="A18" s="17" t="s">
        <v>60</v>
      </c>
      <c r="B18" s="18">
        <f>B3</f>
        <v>1</v>
      </c>
      <c r="C18" s="18">
        <f>4+B6</f>
        <v>7</v>
      </c>
      <c r="D18" s="18">
        <f>16+B6</f>
        <v>19</v>
      </c>
      <c r="E18" s="18">
        <f>11+B5</f>
        <v>14</v>
      </c>
      <c r="F18" s="14">
        <f t="shared" ref="F18:F20" si="2">MIN(A18:E18)</f>
        <v>1</v>
      </c>
      <c r="G18" s="21"/>
      <c r="H18" s="14"/>
      <c r="I18" s="14"/>
      <c r="J18" s="14"/>
      <c r="K18" s="15"/>
    </row>
    <row r="19" spans="1:12" x14ac:dyDescent="0.3">
      <c r="A19" s="17" t="s">
        <v>61</v>
      </c>
      <c r="B19" s="18">
        <f>4+B6</f>
        <v>7</v>
      </c>
      <c r="C19" s="18">
        <f>8+B4</f>
        <v>10</v>
      </c>
      <c r="D19" s="18">
        <f>11+B5</f>
        <v>14</v>
      </c>
      <c r="E19" s="18">
        <f>B3</f>
        <v>1</v>
      </c>
      <c r="F19" s="14">
        <f t="shared" si="2"/>
        <v>1</v>
      </c>
      <c r="G19" s="21"/>
      <c r="H19" s="14"/>
      <c r="I19" s="14"/>
      <c r="J19" s="14"/>
      <c r="K19" s="15"/>
    </row>
    <row r="20" spans="1:12" x14ac:dyDescent="0.3">
      <c r="A20" s="17" t="s">
        <v>62</v>
      </c>
      <c r="B20" s="18">
        <f>11+B5</f>
        <v>14</v>
      </c>
      <c r="C20" s="18">
        <f>4+B6</f>
        <v>7</v>
      </c>
      <c r="D20" s="18">
        <f>4+B6</f>
        <v>7</v>
      </c>
      <c r="E20" s="18">
        <f>4+B6</f>
        <v>7</v>
      </c>
      <c r="F20" s="14">
        <f t="shared" si="2"/>
        <v>7</v>
      </c>
      <c r="G20" s="21"/>
      <c r="H20" s="14"/>
      <c r="I20" s="14"/>
      <c r="J20" s="14"/>
      <c r="K20" s="15"/>
    </row>
    <row r="21" spans="1:12" x14ac:dyDescent="0.3">
      <c r="A21" s="13" t="s">
        <v>63</v>
      </c>
      <c r="B21" s="14">
        <f>MAX(B17:B20)</f>
        <v>14</v>
      </c>
      <c r="C21" s="14">
        <f t="shared" ref="C21:E21" si="3">MAX(C17:C20)</f>
        <v>10</v>
      </c>
      <c r="D21" s="14">
        <f t="shared" si="3"/>
        <v>19</v>
      </c>
      <c r="E21" s="14">
        <f t="shared" si="3"/>
        <v>14</v>
      </c>
      <c r="F21" s="14"/>
      <c r="G21" s="21"/>
      <c r="H21" s="14"/>
      <c r="I21" s="14"/>
      <c r="J21" s="14"/>
      <c r="K21" s="15"/>
    </row>
    <row r="22" spans="1:12" x14ac:dyDescent="0.3">
      <c r="A22" s="22" t="s">
        <v>64</v>
      </c>
      <c r="B22" s="23">
        <f>MIN(B21:E21)</f>
        <v>10</v>
      </c>
      <c r="C22" s="23"/>
      <c r="D22" s="23"/>
      <c r="E22" s="23"/>
      <c r="F22" s="24" t="s">
        <v>65</v>
      </c>
      <c r="G22" s="25" t="s">
        <v>68</v>
      </c>
      <c r="H22" s="14"/>
      <c r="I22" s="14"/>
      <c r="J22" s="14"/>
      <c r="K22" s="15"/>
    </row>
    <row r="23" spans="1:12" x14ac:dyDescent="0.3">
      <c r="A23" s="16"/>
      <c r="B23" s="14"/>
      <c r="C23" s="14"/>
      <c r="D23" s="14"/>
      <c r="E23" s="14"/>
      <c r="F23" s="23"/>
      <c r="G23" s="14"/>
      <c r="H23" s="14"/>
      <c r="I23" s="14"/>
      <c r="J23" s="14"/>
      <c r="K23" s="15"/>
    </row>
    <row r="24" spans="1:12" x14ac:dyDescent="0.3">
      <c r="A24" s="17"/>
      <c r="B24" s="18" t="s">
        <v>52</v>
      </c>
      <c r="C24" s="18" t="s">
        <v>53</v>
      </c>
      <c r="D24" s="18" t="s">
        <v>54</v>
      </c>
      <c r="E24" s="18" t="s">
        <v>55</v>
      </c>
      <c r="F24" s="18" t="s">
        <v>69</v>
      </c>
      <c r="G24" s="30" t="s">
        <v>56</v>
      </c>
      <c r="H24" s="30" t="s">
        <v>57</v>
      </c>
      <c r="I24" s="28" t="s">
        <v>67</v>
      </c>
      <c r="J24" s="29"/>
      <c r="K24" s="31"/>
      <c r="L24" s="14"/>
    </row>
    <row r="25" spans="1:12" x14ac:dyDescent="0.3">
      <c r="A25" s="17" t="s">
        <v>59</v>
      </c>
      <c r="B25" s="18">
        <f>2+B5</f>
        <v>5</v>
      </c>
      <c r="C25" s="18">
        <f>B6+6</f>
        <v>9</v>
      </c>
      <c r="D25" s="18">
        <f>B5+2</f>
        <v>5</v>
      </c>
      <c r="E25" s="18">
        <f>B4+10</f>
        <v>12</v>
      </c>
      <c r="F25" s="18">
        <f>B6+17</f>
        <v>20</v>
      </c>
      <c r="G25" s="14">
        <f>MIN(A25:F25)</f>
        <v>5</v>
      </c>
      <c r="H25" s="21">
        <f>MAX(G25:G28)</f>
        <v>5</v>
      </c>
      <c r="I25" s="14"/>
      <c r="J25" s="14"/>
      <c r="K25" s="15"/>
      <c r="L25" s="14"/>
    </row>
    <row r="26" spans="1:12" x14ac:dyDescent="0.3">
      <c r="A26" s="17" t="s">
        <v>60</v>
      </c>
      <c r="B26" s="18">
        <f>B4-2</f>
        <v>0</v>
      </c>
      <c r="C26" s="18">
        <f>B6+17</f>
        <v>20</v>
      </c>
      <c r="D26" s="18">
        <f>B4-2</f>
        <v>0</v>
      </c>
      <c r="E26" s="18">
        <f>B5+14</f>
        <v>17</v>
      </c>
      <c r="F26" s="18">
        <f>B6+6</f>
        <v>9</v>
      </c>
      <c r="G26" s="14">
        <f t="shared" ref="G26:G28" si="4">MIN(A26:F26)</f>
        <v>0</v>
      </c>
      <c r="H26" s="21"/>
      <c r="I26" s="14"/>
      <c r="J26" s="14"/>
      <c r="K26" s="15"/>
      <c r="L26" s="14"/>
    </row>
    <row r="27" spans="1:12" x14ac:dyDescent="0.3">
      <c r="A27" s="17" t="s">
        <v>61</v>
      </c>
      <c r="B27" s="18">
        <f>B3-6</f>
        <v>-5</v>
      </c>
      <c r="C27" s="18">
        <f>B6+6</f>
        <v>9</v>
      </c>
      <c r="D27" s="18">
        <f>B4-2</f>
        <v>0</v>
      </c>
      <c r="E27" s="18">
        <f>B5+2</f>
        <v>5</v>
      </c>
      <c r="F27" s="18">
        <f>B6+6</f>
        <v>9</v>
      </c>
      <c r="G27" s="14">
        <f t="shared" si="4"/>
        <v>-5</v>
      </c>
      <c r="H27" s="21"/>
      <c r="I27" s="14"/>
      <c r="J27" s="14"/>
      <c r="K27" s="15"/>
      <c r="L27" s="14"/>
    </row>
    <row r="28" spans="1:12" x14ac:dyDescent="0.3">
      <c r="A28" s="17" t="s">
        <v>62</v>
      </c>
      <c r="B28" s="18">
        <f>B5+2</f>
        <v>5</v>
      </c>
      <c r="C28" s="18">
        <f>B6+6</f>
        <v>9</v>
      </c>
      <c r="D28" s="18">
        <f>B5+2</f>
        <v>5</v>
      </c>
      <c r="E28" s="18">
        <f>B4+10</f>
        <v>12</v>
      </c>
      <c r="F28" s="18">
        <f>B4+10</f>
        <v>12</v>
      </c>
      <c r="G28" s="14">
        <f t="shared" si="4"/>
        <v>5</v>
      </c>
      <c r="H28" s="21"/>
      <c r="I28" s="14"/>
      <c r="J28" s="14"/>
      <c r="K28" s="15"/>
      <c r="L28" s="14"/>
    </row>
    <row r="29" spans="1:12" x14ac:dyDescent="0.3">
      <c r="A29" s="13" t="s">
        <v>63</v>
      </c>
      <c r="B29" s="14">
        <f t="shared" ref="B29:F29" si="5">MIN(B25:B28)</f>
        <v>-5</v>
      </c>
      <c r="C29" s="14">
        <f t="shared" si="5"/>
        <v>9</v>
      </c>
      <c r="D29" s="14">
        <f t="shared" si="5"/>
        <v>0</v>
      </c>
      <c r="E29" s="14">
        <f t="shared" si="5"/>
        <v>5</v>
      </c>
      <c r="F29" s="14">
        <f t="shared" si="5"/>
        <v>9</v>
      </c>
      <c r="G29" s="14"/>
      <c r="H29" s="21"/>
      <c r="I29" s="14"/>
      <c r="J29" s="14"/>
      <c r="K29" s="15"/>
      <c r="L29" s="14"/>
    </row>
    <row r="30" spans="1:12" ht="15" thickBot="1" x14ac:dyDescent="0.35">
      <c r="A30" s="32" t="s">
        <v>64</v>
      </c>
      <c r="B30" s="33">
        <f>MIN(B29:F29)</f>
        <v>-5</v>
      </c>
      <c r="C30" s="33"/>
      <c r="D30" s="33"/>
      <c r="E30" s="33"/>
      <c r="F30" s="33"/>
      <c r="G30" s="34" t="s">
        <v>65</v>
      </c>
      <c r="H30" s="35" t="s">
        <v>68</v>
      </c>
      <c r="I30" s="36"/>
      <c r="J30" s="33"/>
      <c r="K30" s="37"/>
      <c r="L30" s="14"/>
    </row>
    <row r="33" spans="1:13" ht="15" thickBot="1" x14ac:dyDescent="0.35"/>
    <row r="34" spans="1:13" x14ac:dyDescent="0.3">
      <c r="A34" s="38" t="s">
        <v>70</v>
      </c>
      <c r="B34" s="39"/>
      <c r="C34" s="39"/>
      <c r="D34" s="11"/>
      <c r="E34" s="11"/>
      <c r="F34" s="11"/>
      <c r="G34" s="11"/>
      <c r="H34" s="11"/>
      <c r="I34" s="11"/>
      <c r="J34" s="11"/>
      <c r="K34" s="11"/>
      <c r="L34" s="11"/>
      <c r="M34" s="12"/>
    </row>
    <row r="35" spans="1:13" x14ac:dyDescent="0.3">
      <c r="A35" s="40"/>
      <c r="B35" s="41" t="s">
        <v>52</v>
      </c>
      <c r="C35" s="41" t="s">
        <v>53</v>
      </c>
      <c r="D35" s="42" t="s">
        <v>56</v>
      </c>
      <c r="E35" s="42" t="s">
        <v>71</v>
      </c>
      <c r="F35" s="42"/>
      <c r="G35" s="14"/>
      <c r="H35" s="14"/>
      <c r="I35" s="14"/>
      <c r="J35" s="14"/>
      <c r="K35" s="14"/>
      <c r="L35" s="14"/>
      <c r="M35" s="15"/>
    </row>
    <row r="36" spans="1:13" x14ac:dyDescent="0.3">
      <c r="A36" s="40" t="s">
        <v>59</v>
      </c>
      <c r="B36" s="41">
        <v>3</v>
      </c>
      <c r="C36" s="41">
        <v>2</v>
      </c>
      <c r="D36" s="42">
        <f>MIN(B36:C36)</f>
        <v>2</v>
      </c>
      <c r="E36" s="42">
        <f>MAX(D36:D37)</f>
        <v>2</v>
      </c>
      <c r="F36" s="42"/>
      <c r="G36" s="14"/>
      <c r="H36" s="14"/>
      <c r="I36" s="14"/>
      <c r="J36" s="14"/>
      <c r="K36" s="14"/>
      <c r="L36" s="14"/>
      <c r="M36" s="15"/>
    </row>
    <row r="37" spans="1:13" x14ac:dyDescent="0.3">
      <c r="A37" s="40" t="s">
        <v>60</v>
      </c>
      <c r="B37" s="41">
        <v>1</v>
      </c>
      <c r="C37" s="41">
        <v>4</v>
      </c>
      <c r="D37" s="42">
        <f>MIN(B37:C37)</f>
        <v>1</v>
      </c>
      <c r="E37" s="42"/>
      <c r="F37" s="42"/>
      <c r="G37" s="14"/>
      <c r="H37" s="14"/>
      <c r="I37" s="14"/>
      <c r="J37" s="14"/>
      <c r="K37" s="14"/>
      <c r="L37" s="14"/>
      <c r="M37" s="15"/>
    </row>
    <row r="38" spans="1:13" x14ac:dyDescent="0.3">
      <c r="A38" s="43" t="s">
        <v>63</v>
      </c>
      <c r="B38" s="42">
        <f>MAX(B36:B37)</f>
        <v>3</v>
      </c>
      <c r="C38" s="42">
        <f>MAX(C36:C37)</f>
        <v>4</v>
      </c>
      <c r="D38" s="42"/>
      <c r="E38" s="42"/>
      <c r="F38" s="42"/>
      <c r="G38" s="14"/>
      <c r="H38" s="14"/>
      <c r="I38" s="14"/>
      <c r="J38" s="14"/>
      <c r="K38" s="14"/>
      <c r="L38" s="14"/>
      <c r="M38" s="15"/>
    </row>
    <row r="39" spans="1:13" x14ac:dyDescent="0.3">
      <c r="A39" s="43" t="s">
        <v>64</v>
      </c>
      <c r="B39" s="42">
        <f>MIN(B38:C38)</f>
        <v>3</v>
      </c>
      <c r="C39" s="42"/>
      <c r="D39" s="42" t="s">
        <v>65</v>
      </c>
      <c r="E39" s="42" t="s">
        <v>68</v>
      </c>
      <c r="F39" s="42"/>
      <c r="G39" s="14"/>
      <c r="H39" s="14"/>
      <c r="I39" s="14"/>
      <c r="J39" s="14"/>
      <c r="K39" s="14"/>
      <c r="L39" s="14"/>
      <c r="M39" s="15"/>
    </row>
    <row r="40" spans="1:13" x14ac:dyDescent="0.3">
      <c r="A40" s="43"/>
      <c r="B40" s="42"/>
      <c r="C40" s="42"/>
      <c r="D40" s="42"/>
      <c r="E40" s="42"/>
      <c r="F40" s="42"/>
      <c r="G40" s="14"/>
      <c r="H40" s="14"/>
      <c r="I40" s="14"/>
      <c r="J40" s="14"/>
      <c r="K40" s="14"/>
      <c r="L40" s="14"/>
      <c r="M40" s="15"/>
    </row>
    <row r="41" spans="1:13" x14ac:dyDescent="0.3">
      <c r="A41" s="44" t="s">
        <v>72</v>
      </c>
      <c r="B41" s="45"/>
      <c r="C41" s="42">
        <f>B36+C37-C36-B37</f>
        <v>4</v>
      </c>
      <c r="D41" s="42"/>
      <c r="E41" s="42"/>
      <c r="F41" s="42"/>
      <c r="G41" s="14"/>
      <c r="H41" s="14"/>
      <c r="I41" s="14"/>
      <c r="J41" s="14"/>
      <c r="K41" s="14"/>
      <c r="L41" s="14"/>
      <c r="M41" s="15"/>
    </row>
    <row r="42" spans="1:13" x14ac:dyDescent="0.3">
      <c r="A42" s="44" t="s">
        <v>73</v>
      </c>
      <c r="B42" s="45"/>
      <c r="C42" s="42">
        <f>(C37-B37)/C41</f>
        <v>0.75</v>
      </c>
      <c r="D42" s="42"/>
      <c r="E42" s="42"/>
      <c r="F42" s="42"/>
      <c r="G42" s="14"/>
      <c r="H42" s="14"/>
      <c r="I42" s="14"/>
      <c r="J42" s="14"/>
      <c r="K42" s="14"/>
      <c r="L42" s="14"/>
      <c r="M42" s="15"/>
    </row>
    <row r="43" spans="1:13" x14ac:dyDescent="0.3">
      <c r="A43" s="44" t="s">
        <v>74</v>
      </c>
      <c r="B43" s="45"/>
      <c r="C43" s="42">
        <f>(B36-C36)/C41</f>
        <v>0.25</v>
      </c>
      <c r="D43" s="42"/>
      <c r="E43" s="45" t="s">
        <v>75</v>
      </c>
      <c r="F43" s="45"/>
      <c r="G43" s="14"/>
      <c r="H43" s="14"/>
      <c r="I43" s="14"/>
      <c r="J43" s="14"/>
      <c r="K43" s="14"/>
      <c r="L43" s="14"/>
      <c r="M43" s="15"/>
    </row>
    <row r="44" spans="1:13" x14ac:dyDescent="0.3">
      <c r="A44" s="44" t="s">
        <v>76</v>
      </c>
      <c r="B44" s="45"/>
      <c r="C44" s="42">
        <f>(C37-C36)/C41</f>
        <v>0.5</v>
      </c>
      <c r="D44" s="42"/>
      <c r="E44" s="46" t="s">
        <v>77</v>
      </c>
      <c r="F44" s="42" t="s">
        <v>78</v>
      </c>
      <c r="G44" s="14"/>
      <c r="H44" s="14"/>
      <c r="I44" s="14"/>
      <c r="J44" s="14"/>
      <c r="K44" s="14"/>
      <c r="L44" s="14"/>
      <c r="M44" s="15"/>
    </row>
    <row r="45" spans="1:13" x14ac:dyDescent="0.3">
      <c r="A45" s="44" t="s">
        <v>79</v>
      </c>
      <c r="B45" s="45"/>
      <c r="C45" s="42">
        <f>(B36-B37)/C41</f>
        <v>0.5</v>
      </c>
      <c r="D45" s="42"/>
      <c r="E45" s="46" t="s">
        <v>80</v>
      </c>
      <c r="F45" s="42" t="s">
        <v>81</v>
      </c>
      <c r="G45" s="14"/>
      <c r="H45" s="14"/>
      <c r="I45" s="14"/>
      <c r="J45" s="14"/>
      <c r="K45" s="14"/>
      <c r="L45" s="14"/>
      <c r="M45" s="15"/>
    </row>
    <row r="46" spans="1:13" ht="15" thickBot="1" x14ac:dyDescent="0.35">
      <c r="A46" s="47" t="s">
        <v>82</v>
      </c>
      <c r="B46" s="48"/>
      <c r="C46" s="49">
        <f>(B36*C37-B37*C36)/C41</f>
        <v>2.5</v>
      </c>
      <c r="D46" s="49"/>
      <c r="E46" s="50" t="s">
        <v>51</v>
      </c>
      <c r="F46" s="51">
        <v>2.5</v>
      </c>
      <c r="G46" s="33"/>
      <c r="H46" s="33"/>
      <c r="I46" s="33"/>
      <c r="J46" s="33"/>
      <c r="K46" s="33"/>
      <c r="L46" s="33"/>
      <c r="M46" s="37"/>
    </row>
    <row r="47" spans="1:13" x14ac:dyDescent="0.3">
      <c r="A47" s="14"/>
      <c r="B47" s="14"/>
      <c r="C47" s="14"/>
      <c r="D47" s="14"/>
      <c r="E47" s="14"/>
      <c r="F47" s="14"/>
      <c r="G47" s="14"/>
    </row>
    <row r="48" spans="1:13" x14ac:dyDescent="0.3">
      <c r="A48" s="14"/>
      <c r="B48" s="14"/>
      <c r="C48" s="14"/>
      <c r="D48" s="14"/>
      <c r="E48" s="14"/>
      <c r="F48" s="14"/>
      <c r="G48" s="14"/>
    </row>
    <row r="49" spans="1:12" x14ac:dyDescent="0.3">
      <c r="A49" s="14"/>
      <c r="B49" s="14"/>
      <c r="C49" s="14"/>
      <c r="D49" s="14"/>
      <c r="E49" s="14"/>
      <c r="F49" s="14"/>
      <c r="G49" s="14"/>
    </row>
    <row r="50" spans="1:12" ht="15" thickBot="1" x14ac:dyDescent="0.35">
      <c r="A50" s="14"/>
      <c r="B50" s="14"/>
      <c r="C50" s="14"/>
      <c r="D50" s="14"/>
      <c r="E50" s="14"/>
      <c r="F50" s="14"/>
      <c r="G50" s="14"/>
    </row>
    <row r="51" spans="1:12" x14ac:dyDescent="0.3">
      <c r="A51" s="52" t="s">
        <v>83</v>
      </c>
      <c r="B51" s="53"/>
      <c r="C51" s="11"/>
      <c r="D51" s="11"/>
      <c r="E51" s="11"/>
      <c r="F51" s="11"/>
      <c r="G51" s="11"/>
      <c r="H51" s="11"/>
      <c r="I51" s="11"/>
      <c r="J51" s="11"/>
      <c r="K51" s="11"/>
      <c r="L51" s="12"/>
    </row>
    <row r="52" spans="1:12" x14ac:dyDescent="0.3">
      <c r="A52" s="54"/>
      <c r="B52" s="18" t="s">
        <v>52</v>
      </c>
      <c r="C52" s="18" t="s">
        <v>53</v>
      </c>
      <c r="D52" s="18" t="s">
        <v>54</v>
      </c>
      <c r="E52" s="18" t="s">
        <v>55</v>
      </c>
      <c r="F52" s="18" t="s">
        <v>69</v>
      </c>
      <c r="G52" s="55" t="s">
        <v>56</v>
      </c>
      <c r="H52" s="55" t="s">
        <v>57</v>
      </c>
      <c r="J52" s="18" t="s">
        <v>55</v>
      </c>
      <c r="K52" s="18" t="s">
        <v>69</v>
      </c>
      <c r="L52" s="15"/>
    </row>
    <row r="53" spans="1:12" x14ac:dyDescent="0.3">
      <c r="A53" s="54" t="s">
        <v>84</v>
      </c>
      <c r="B53" s="18">
        <v>5</v>
      </c>
      <c r="C53" s="18">
        <v>9</v>
      </c>
      <c r="D53" s="18">
        <v>6</v>
      </c>
      <c r="E53" s="18">
        <v>3</v>
      </c>
      <c r="F53" s="18">
        <v>1</v>
      </c>
      <c r="G53">
        <f>MIN(B53:F53)</f>
        <v>1</v>
      </c>
      <c r="H53">
        <f>MAX(G53:G54)</f>
        <v>2</v>
      </c>
      <c r="J53" s="18">
        <v>3</v>
      </c>
      <c r="K53" s="18">
        <v>1</v>
      </c>
      <c r="L53" s="15"/>
    </row>
    <row r="54" spans="1:12" x14ac:dyDescent="0.3">
      <c r="A54" s="54" t="s">
        <v>60</v>
      </c>
      <c r="B54" s="18">
        <v>3</v>
      </c>
      <c r="C54" s="18">
        <v>5</v>
      </c>
      <c r="D54" s="18">
        <v>7</v>
      </c>
      <c r="E54" s="18">
        <v>2</v>
      </c>
      <c r="F54" s="18">
        <v>4</v>
      </c>
      <c r="G54">
        <f>MIN(B54:F54)</f>
        <v>2</v>
      </c>
      <c r="J54" s="18">
        <v>2</v>
      </c>
      <c r="K54" s="18">
        <v>4</v>
      </c>
      <c r="L54" s="15"/>
    </row>
    <row r="55" spans="1:12" x14ac:dyDescent="0.3">
      <c r="A55" s="16" t="s">
        <v>63</v>
      </c>
      <c r="B55">
        <f>MAX(B53:B54)</f>
        <v>5</v>
      </c>
      <c r="C55">
        <f t="shared" ref="C55:F55" si="6">MAX(C53:C54)</f>
        <v>9</v>
      </c>
      <c r="D55">
        <f t="shared" si="6"/>
        <v>7</v>
      </c>
      <c r="E55">
        <f t="shared" si="6"/>
        <v>3</v>
      </c>
      <c r="F55">
        <f t="shared" si="6"/>
        <v>4</v>
      </c>
      <c r="J55" t="s">
        <v>85</v>
      </c>
      <c r="K55">
        <f>J53+K54-K53-J54</f>
        <v>4</v>
      </c>
      <c r="L55" s="15"/>
    </row>
    <row r="56" spans="1:12" x14ac:dyDescent="0.3">
      <c r="A56" s="16" t="s">
        <v>64</v>
      </c>
      <c r="B56">
        <f>MIN(B55:F55)</f>
        <v>3</v>
      </c>
      <c r="H56" t="s">
        <v>68</v>
      </c>
      <c r="J56" t="s">
        <v>73</v>
      </c>
      <c r="K56">
        <f>(K54-J54)/K55</f>
        <v>0.5</v>
      </c>
      <c r="L56" s="15"/>
    </row>
    <row r="57" spans="1:12" x14ac:dyDescent="0.3">
      <c r="A57" s="16"/>
      <c r="J57" t="s">
        <v>74</v>
      </c>
      <c r="K57">
        <f>1-K56</f>
        <v>0.5</v>
      </c>
      <c r="L57" s="15"/>
    </row>
    <row r="58" spans="1:12" x14ac:dyDescent="0.3">
      <c r="A58" s="16"/>
      <c r="J58" t="s">
        <v>76</v>
      </c>
      <c r="K58">
        <f>(K54-K53)/K55</f>
        <v>0.75</v>
      </c>
      <c r="L58" s="15"/>
    </row>
    <row r="59" spans="1:12" x14ac:dyDescent="0.3">
      <c r="A59" s="16"/>
      <c r="J59" t="s">
        <v>79</v>
      </c>
      <c r="K59">
        <f>1-K58</f>
        <v>0.25</v>
      </c>
      <c r="L59" s="15"/>
    </row>
    <row r="60" spans="1:12" x14ac:dyDescent="0.3">
      <c r="A60" s="16"/>
      <c r="J60" t="s">
        <v>86</v>
      </c>
      <c r="K60">
        <f>(K54*J53-K53*J54)/K55</f>
        <v>2.5</v>
      </c>
      <c r="L60" s="15"/>
    </row>
    <row r="61" spans="1:12" x14ac:dyDescent="0.3">
      <c r="A61" s="16"/>
      <c r="L61" s="15"/>
    </row>
    <row r="62" spans="1:12" x14ac:dyDescent="0.3">
      <c r="A62" s="16"/>
      <c r="J62" s="56" t="s">
        <v>65</v>
      </c>
      <c r="K62" s="56"/>
      <c r="L62" s="57"/>
    </row>
    <row r="63" spans="1:12" x14ac:dyDescent="0.3">
      <c r="A63" s="16"/>
      <c r="J63" s="58" t="s">
        <v>77</v>
      </c>
      <c r="K63" s="59" t="s">
        <v>81</v>
      </c>
      <c r="L63" s="57"/>
    </row>
    <row r="64" spans="1:12" x14ac:dyDescent="0.3">
      <c r="A64" s="16"/>
      <c r="J64" s="58" t="s">
        <v>80</v>
      </c>
      <c r="K64" s="59" t="s">
        <v>87</v>
      </c>
      <c r="L64" s="57"/>
    </row>
    <row r="65" spans="1:12" x14ac:dyDescent="0.3">
      <c r="A65" s="16"/>
      <c r="J65" s="58" t="s">
        <v>51</v>
      </c>
      <c r="K65" s="60">
        <v>2.5</v>
      </c>
      <c r="L65" s="57"/>
    </row>
    <row r="66" spans="1:12" x14ac:dyDescent="0.3">
      <c r="A66" s="16"/>
      <c r="J66" s="59"/>
      <c r="K66" s="59"/>
      <c r="L66" s="57"/>
    </row>
    <row r="67" spans="1:12" x14ac:dyDescent="0.3">
      <c r="A67" s="16"/>
      <c r="J67" s="59"/>
      <c r="K67" s="59"/>
      <c r="L67" s="57"/>
    </row>
    <row r="68" spans="1:12" x14ac:dyDescent="0.3">
      <c r="A68" s="16"/>
      <c r="J68" s="59"/>
      <c r="K68" s="59"/>
      <c r="L68" s="57"/>
    </row>
    <row r="69" spans="1:12" x14ac:dyDescent="0.3">
      <c r="A69" s="16"/>
      <c r="J69" s="59"/>
      <c r="K69" s="59"/>
      <c r="L69" s="57"/>
    </row>
    <row r="70" spans="1:12" x14ac:dyDescent="0.3">
      <c r="A70" s="16"/>
      <c r="J70" s="59"/>
      <c r="K70" s="59"/>
      <c r="L70" s="57"/>
    </row>
    <row r="71" spans="1:12" ht="15" thickBot="1" x14ac:dyDescent="0.35">
      <c r="A71" s="61"/>
      <c r="B71" s="33"/>
      <c r="C71" s="33"/>
      <c r="D71" s="33"/>
      <c r="E71" s="33"/>
      <c r="F71" s="33"/>
      <c r="G71" s="33"/>
      <c r="H71" s="33"/>
      <c r="I71" s="33"/>
      <c r="J71" s="49"/>
      <c r="K71" s="49"/>
      <c r="L71" s="62"/>
    </row>
    <row r="72" spans="1:12" x14ac:dyDescent="0.3">
      <c r="A72" s="52" t="s">
        <v>88</v>
      </c>
      <c r="B72" s="53"/>
      <c r="C72" s="11"/>
      <c r="D72" s="11"/>
      <c r="E72" s="11"/>
      <c r="F72" s="11"/>
      <c r="G72" s="11"/>
      <c r="H72" s="11"/>
      <c r="I72" s="11"/>
      <c r="J72" s="11"/>
      <c r="K72" s="11"/>
      <c r="L72" s="12"/>
    </row>
    <row r="73" spans="1:12" x14ac:dyDescent="0.3">
      <c r="A73" s="54"/>
      <c r="B73" s="18" t="s">
        <v>52</v>
      </c>
      <c r="C73" s="18" t="s">
        <v>53</v>
      </c>
      <c r="D73" t="s">
        <v>56</v>
      </c>
      <c r="E73" t="s">
        <v>63</v>
      </c>
      <c r="L73" s="15"/>
    </row>
    <row r="74" spans="1:12" x14ac:dyDescent="0.3">
      <c r="A74" s="54" t="s">
        <v>84</v>
      </c>
      <c r="B74" s="18">
        <v>1</v>
      </c>
      <c r="C74" s="18">
        <v>4</v>
      </c>
      <c r="D74">
        <f>MIN(B74:C74)</f>
        <v>1</v>
      </c>
      <c r="E74">
        <f>MAX(D74:D77)</f>
        <v>3</v>
      </c>
      <c r="L74" s="15"/>
    </row>
    <row r="75" spans="1:12" x14ac:dyDescent="0.3">
      <c r="A75" s="54" t="s">
        <v>60</v>
      </c>
      <c r="B75" s="18">
        <v>3</v>
      </c>
      <c r="C75" s="18">
        <v>6</v>
      </c>
      <c r="D75">
        <f t="shared" ref="D75:D77" si="7">MIN(B75:C75)</f>
        <v>3</v>
      </c>
      <c r="L75" s="15"/>
    </row>
    <row r="76" spans="1:12" x14ac:dyDescent="0.3">
      <c r="A76" s="54" t="s">
        <v>61</v>
      </c>
      <c r="B76" s="18">
        <v>5</v>
      </c>
      <c r="C76" s="18">
        <v>2</v>
      </c>
      <c r="D76">
        <f t="shared" si="7"/>
        <v>2</v>
      </c>
      <c r="L76" s="15"/>
    </row>
    <row r="77" spans="1:12" x14ac:dyDescent="0.3">
      <c r="A77" s="54" t="s">
        <v>62</v>
      </c>
      <c r="B77" s="18">
        <v>4</v>
      </c>
      <c r="C77" s="18">
        <v>3</v>
      </c>
      <c r="D77">
        <f t="shared" si="7"/>
        <v>3</v>
      </c>
      <c r="L77" s="15"/>
    </row>
    <row r="78" spans="1:12" x14ac:dyDescent="0.3">
      <c r="A78" s="16" t="s">
        <v>63</v>
      </c>
      <c r="B78">
        <f>MAX(B74:B77)</f>
        <v>5</v>
      </c>
      <c r="C78">
        <f>MAX(C74:C77)</f>
        <v>6</v>
      </c>
      <c r="L78" s="15"/>
    </row>
    <row r="79" spans="1:12" x14ac:dyDescent="0.3">
      <c r="A79" s="16" t="s">
        <v>56</v>
      </c>
      <c r="B79">
        <f>MIN(B78:C78)</f>
        <v>5</v>
      </c>
      <c r="E79" t="s">
        <v>68</v>
      </c>
      <c r="L79" s="15"/>
    </row>
    <row r="80" spans="1:12" x14ac:dyDescent="0.3">
      <c r="A80" s="16"/>
      <c r="L80" s="15"/>
    </row>
    <row r="81" spans="1:12" x14ac:dyDescent="0.3">
      <c r="A81" s="54" t="s">
        <v>60</v>
      </c>
      <c r="B81" s="18">
        <v>3</v>
      </c>
      <c r="C81" s="18">
        <v>6</v>
      </c>
      <c r="L81" s="15"/>
    </row>
    <row r="82" spans="1:12" x14ac:dyDescent="0.3">
      <c r="A82" s="54" t="s">
        <v>61</v>
      </c>
      <c r="B82" s="18">
        <v>5</v>
      </c>
      <c r="C82" s="18">
        <v>2</v>
      </c>
      <c r="L82" s="15"/>
    </row>
    <row r="83" spans="1:12" x14ac:dyDescent="0.3">
      <c r="A83" s="16"/>
      <c r="B83" t="s">
        <v>85</v>
      </c>
      <c r="C83">
        <f>B81+C82-C81-B82</f>
        <v>-6</v>
      </c>
      <c r="J83" s="63"/>
      <c r="K83" s="63"/>
      <c r="L83" s="15"/>
    </row>
    <row r="84" spans="1:12" x14ac:dyDescent="0.3">
      <c r="A84" s="16"/>
      <c r="B84" t="s">
        <v>76</v>
      </c>
      <c r="C84">
        <f>(C82-C81)/C83</f>
        <v>0.66666666666666663</v>
      </c>
      <c r="J84" s="64"/>
      <c r="L84" s="15"/>
    </row>
    <row r="85" spans="1:12" x14ac:dyDescent="0.3">
      <c r="A85" s="16"/>
      <c r="B85" t="s">
        <v>79</v>
      </c>
      <c r="C85">
        <f>1-C84</f>
        <v>0.33333333333333337</v>
      </c>
      <c r="J85" s="64"/>
      <c r="L85" s="15"/>
    </row>
    <row r="86" spans="1:12" x14ac:dyDescent="0.3">
      <c r="A86" s="16"/>
      <c r="B86" t="s">
        <v>73</v>
      </c>
      <c r="C86">
        <f>(C82-B82)/C83</f>
        <v>0.5</v>
      </c>
      <c r="J86" s="64"/>
      <c r="K86" s="65"/>
      <c r="L86" s="15"/>
    </row>
    <row r="87" spans="1:12" x14ac:dyDescent="0.3">
      <c r="A87" s="16"/>
      <c r="B87" t="s">
        <v>74</v>
      </c>
      <c r="C87">
        <f>1-C86</f>
        <v>0.5</v>
      </c>
      <c r="E87" s="1"/>
      <c r="F87" s="1"/>
      <c r="L87" s="15"/>
    </row>
    <row r="88" spans="1:12" x14ac:dyDescent="0.3">
      <c r="A88" s="16"/>
      <c r="B88" t="s">
        <v>86</v>
      </c>
      <c r="C88">
        <f>(C82*B81-C81*B82)/C83</f>
        <v>4</v>
      </c>
      <c r="E88" s="64"/>
      <c r="L88" s="15"/>
    </row>
    <row r="89" spans="1:12" x14ac:dyDescent="0.3">
      <c r="A89" s="16"/>
      <c r="E89" s="64"/>
      <c r="L89" s="15"/>
    </row>
    <row r="90" spans="1:12" x14ac:dyDescent="0.3">
      <c r="A90" s="16"/>
      <c r="E90" s="64"/>
      <c r="F90" s="65"/>
      <c r="L90" s="15"/>
    </row>
    <row r="91" spans="1:12" x14ac:dyDescent="0.3">
      <c r="A91" s="16"/>
      <c r="L91" s="15"/>
    </row>
    <row r="92" spans="1:12" ht="15" thickBot="1" x14ac:dyDescent="0.35">
      <c r="A92" s="61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7"/>
    </row>
  </sheetData>
  <mergeCells count="13">
    <mergeCell ref="J83:K83"/>
    <mergeCell ref="A42:B42"/>
    <mergeCell ref="A43:B43"/>
    <mergeCell ref="E43:F43"/>
    <mergeCell ref="A44:B44"/>
    <mergeCell ref="A45:B45"/>
    <mergeCell ref="A46:B46"/>
    <mergeCell ref="A1:B1"/>
    <mergeCell ref="A2:E2"/>
    <mergeCell ref="H16:J16"/>
    <mergeCell ref="I24:K24"/>
    <mergeCell ref="A34:C34"/>
    <mergeCell ref="A41:B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O9" sqref="O9"/>
    </sheetView>
  </sheetViews>
  <sheetFormatPr defaultRowHeight="14.4" x14ac:dyDescent="0.3"/>
  <cols>
    <col min="1" max="2" width="11.44140625" customWidth="1"/>
    <col min="3" max="3" width="9.77734375" customWidth="1"/>
    <col min="5" max="5" width="11.6640625" customWidth="1"/>
    <col min="6" max="6" width="13.21875" customWidth="1"/>
    <col min="7" max="7" width="10.33203125" customWidth="1"/>
    <col min="9" max="9" width="8.88671875" customWidth="1"/>
  </cols>
  <sheetData>
    <row r="1" spans="1:20" x14ac:dyDescent="0.3">
      <c r="A1" t="s">
        <v>46</v>
      </c>
    </row>
    <row r="2" spans="1:20" x14ac:dyDescent="0.3">
      <c r="B2" t="s">
        <v>52</v>
      </c>
      <c r="C2" t="s">
        <v>53</v>
      </c>
      <c r="D2" t="s">
        <v>54</v>
      </c>
      <c r="E2" t="s">
        <v>55</v>
      </c>
      <c r="F2" t="s">
        <v>69</v>
      </c>
      <c r="G2" t="s">
        <v>56</v>
      </c>
      <c r="H2" t="s">
        <v>57</v>
      </c>
      <c r="I2" s="59" t="s">
        <v>89</v>
      </c>
    </row>
    <row r="3" spans="1:20" x14ac:dyDescent="0.3">
      <c r="A3" t="s">
        <v>59</v>
      </c>
      <c r="B3">
        <v>660</v>
      </c>
      <c r="C3">
        <v>678</v>
      </c>
      <c r="D3">
        <v>724</v>
      </c>
      <c r="E3">
        <v>839</v>
      </c>
      <c r="F3">
        <v>936</v>
      </c>
      <c r="G3">
        <f>MIN(B3:F3)</f>
        <v>660</v>
      </c>
      <c r="H3">
        <f>MAX(G3:G11)</f>
        <v>660</v>
      </c>
      <c r="I3">
        <v>9.8661782429223187E-4</v>
      </c>
      <c r="J3">
        <f t="shared" ref="J3:J11" si="0">I3*$D$21</f>
        <v>0.70181594126003399</v>
      </c>
    </row>
    <row r="4" spans="1:20" x14ac:dyDescent="0.3">
      <c r="A4" t="s">
        <v>60</v>
      </c>
      <c r="B4">
        <v>952</v>
      </c>
      <c r="C4">
        <v>772</v>
      </c>
      <c r="D4">
        <v>669</v>
      </c>
      <c r="E4">
        <v>407</v>
      </c>
      <c r="F4">
        <v>958</v>
      </c>
      <c r="G4">
        <f t="shared" ref="G4:G11" si="1">MIN(B4:F4)</f>
        <v>407</v>
      </c>
      <c r="I4">
        <v>3.2932174517955786E-4</v>
      </c>
      <c r="J4">
        <f t="shared" si="0"/>
        <v>0.23425813408184562</v>
      </c>
    </row>
    <row r="5" spans="1:20" x14ac:dyDescent="0.3">
      <c r="A5" t="s">
        <v>61</v>
      </c>
      <c r="B5">
        <v>613</v>
      </c>
      <c r="C5">
        <v>455</v>
      </c>
      <c r="D5">
        <v>848</v>
      </c>
      <c r="E5">
        <v>755</v>
      </c>
      <c r="F5">
        <v>499</v>
      </c>
      <c r="G5">
        <f t="shared" si="1"/>
        <v>455</v>
      </c>
      <c r="I5">
        <v>0</v>
      </c>
      <c r="J5">
        <f t="shared" si="0"/>
        <v>0</v>
      </c>
    </row>
    <row r="6" spans="1:20" x14ac:dyDescent="0.3">
      <c r="A6" t="s">
        <v>62</v>
      </c>
      <c r="B6">
        <v>185</v>
      </c>
      <c r="C6">
        <v>287</v>
      </c>
      <c r="D6">
        <v>389</v>
      </c>
      <c r="E6">
        <v>326</v>
      </c>
      <c r="F6">
        <v>358</v>
      </c>
      <c r="G6">
        <f t="shared" si="1"/>
        <v>185</v>
      </c>
      <c r="I6">
        <v>0</v>
      </c>
      <c r="J6">
        <f t="shared" si="0"/>
        <v>0</v>
      </c>
    </row>
    <row r="7" spans="1:20" x14ac:dyDescent="0.3">
      <c r="A7" t="s">
        <v>90</v>
      </c>
      <c r="B7">
        <v>439</v>
      </c>
      <c r="C7">
        <v>617</v>
      </c>
      <c r="D7">
        <v>725</v>
      </c>
      <c r="E7">
        <v>313</v>
      </c>
      <c r="F7">
        <v>579</v>
      </c>
      <c r="G7">
        <f t="shared" si="1"/>
        <v>313</v>
      </c>
      <c r="I7">
        <v>0</v>
      </c>
      <c r="J7">
        <f t="shared" si="0"/>
        <v>0</v>
      </c>
    </row>
    <row r="8" spans="1:20" x14ac:dyDescent="0.3">
      <c r="A8" t="s">
        <v>91</v>
      </c>
      <c r="B8">
        <v>393</v>
      </c>
      <c r="C8">
        <v>855</v>
      </c>
      <c r="D8">
        <v>928</v>
      </c>
      <c r="E8">
        <v>425</v>
      </c>
      <c r="F8">
        <v>640</v>
      </c>
      <c r="G8">
        <f t="shared" si="1"/>
        <v>393</v>
      </c>
      <c r="I8">
        <v>8.9867517954675866E-5</v>
      </c>
      <c r="J8">
        <f t="shared" si="0"/>
        <v>6.3925924658120359E-2</v>
      </c>
    </row>
    <row r="9" spans="1:20" x14ac:dyDescent="0.3">
      <c r="A9" t="s">
        <v>92</v>
      </c>
      <c r="B9">
        <v>894</v>
      </c>
      <c r="C9">
        <v>443</v>
      </c>
      <c r="D9">
        <v>562</v>
      </c>
      <c r="E9">
        <v>965</v>
      </c>
      <c r="F9">
        <v>362</v>
      </c>
      <c r="G9">
        <f t="shared" si="1"/>
        <v>362</v>
      </c>
      <c r="I9">
        <v>0</v>
      </c>
      <c r="J9">
        <f t="shared" si="0"/>
        <v>0</v>
      </c>
    </row>
    <row r="10" spans="1:20" x14ac:dyDescent="0.3">
      <c r="A10" t="s">
        <v>93</v>
      </c>
      <c r="B10">
        <v>565</v>
      </c>
      <c r="C10">
        <v>633</v>
      </c>
      <c r="D10">
        <v>459</v>
      </c>
      <c r="E10">
        <v>770</v>
      </c>
      <c r="F10">
        <v>486</v>
      </c>
      <c r="G10">
        <f t="shared" si="1"/>
        <v>459</v>
      </c>
      <c r="I10">
        <v>0</v>
      </c>
      <c r="J10">
        <f t="shared" si="0"/>
        <v>0</v>
      </c>
    </row>
    <row r="11" spans="1:20" x14ac:dyDescent="0.3">
      <c r="A11" t="s">
        <v>94</v>
      </c>
      <c r="B11">
        <v>463</v>
      </c>
      <c r="C11">
        <v>717</v>
      </c>
      <c r="D11">
        <v>973</v>
      </c>
      <c r="E11">
        <v>815</v>
      </c>
      <c r="F11">
        <v>895</v>
      </c>
      <c r="G11">
        <f t="shared" si="1"/>
        <v>463</v>
      </c>
      <c r="I11">
        <v>0</v>
      </c>
      <c r="J11">
        <f t="shared" si="0"/>
        <v>0</v>
      </c>
    </row>
    <row r="12" spans="1:20" x14ac:dyDescent="0.3">
      <c r="A12" t="s">
        <v>63</v>
      </c>
      <c r="B12">
        <f>MAX(B3:B10)</f>
        <v>952</v>
      </c>
      <c r="C12">
        <f t="shared" ref="C12:F12" si="2">MAX(C3:C10)</f>
        <v>855</v>
      </c>
      <c r="D12">
        <f t="shared" si="2"/>
        <v>928</v>
      </c>
      <c r="E12">
        <f t="shared" si="2"/>
        <v>965</v>
      </c>
      <c r="F12">
        <f t="shared" si="2"/>
        <v>958</v>
      </c>
    </row>
    <row r="13" spans="1:20" ht="14.4" customHeight="1" x14ac:dyDescent="0.3">
      <c r="A13" t="s">
        <v>64</v>
      </c>
      <c r="B13">
        <f>MIN(B12:F12)</f>
        <v>855</v>
      </c>
      <c r="G13" s="1"/>
    </row>
    <row r="14" spans="1:20" x14ac:dyDescent="0.3">
      <c r="A14" s="66" t="s">
        <v>95</v>
      </c>
      <c r="B14" s="66"/>
      <c r="C14">
        <v>660</v>
      </c>
      <c r="H14" s="67" t="s">
        <v>96</v>
      </c>
      <c r="I14" s="67"/>
      <c r="J14" s="67"/>
      <c r="K14" s="67"/>
      <c r="L14" s="67"/>
      <c r="M14" s="67"/>
      <c r="O14" s="70" t="s">
        <v>106</v>
      </c>
      <c r="P14" s="70"/>
      <c r="Q14" s="70"/>
      <c r="R14" s="70"/>
      <c r="S14" s="70"/>
      <c r="T14" s="70"/>
    </row>
    <row r="15" spans="1:20" x14ac:dyDescent="0.3">
      <c r="A15" s="66" t="s">
        <v>97</v>
      </c>
      <c r="B15" s="66"/>
      <c r="C15">
        <v>855</v>
      </c>
      <c r="H15" s="67"/>
      <c r="I15" s="67"/>
      <c r="J15" s="67"/>
      <c r="K15" s="67"/>
      <c r="L15" s="67"/>
      <c r="M15" s="67"/>
      <c r="O15" s="70"/>
      <c r="P15" s="70"/>
      <c r="Q15" s="70"/>
      <c r="R15" s="70"/>
      <c r="S15" s="70"/>
      <c r="T15" s="70"/>
    </row>
    <row r="16" spans="1:20" x14ac:dyDescent="0.3">
      <c r="H16" s="67"/>
      <c r="I16" s="67"/>
      <c r="J16" s="67"/>
      <c r="K16" s="67"/>
      <c r="L16" s="67"/>
      <c r="M16" s="67"/>
      <c r="O16" s="70"/>
      <c r="P16" s="70"/>
      <c r="Q16" s="70"/>
      <c r="R16" s="70"/>
      <c r="S16" s="70"/>
      <c r="T16" s="70"/>
    </row>
    <row r="17" spans="1:20" x14ac:dyDescent="0.3">
      <c r="H17" s="67"/>
      <c r="I17" s="67"/>
      <c r="J17" s="67"/>
      <c r="K17" s="67"/>
      <c r="L17" s="67"/>
      <c r="M17" s="67"/>
      <c r="O17" s="70"/>
      <c r="P17" s="70"/>
      <c r="Q17" s="70"/>
      <c r="R17" s="70"/>
      <c r="S17" s="70"/>
      <c r="T17" s="70"/>
    </row>
    <row r="18" spans="1:20" x14ac:dyDescent="0.3">
      <c r="A18" t="s">
        <v>98</v>
      </c>
      <c r="H18" s="67"/>
      <c r="I18" s="67"/>
      <c r="J18" s="67"/>
      <c r="K18" s="67"/>
      <c r="L18" s="67"/>
      <c r="M18" s="67"/>
      <c r="O18" s="70"/>
      <c r="P18" s="70"/>
      <c r="Q18" s="70"/>
      <c r="R18" s="70"/>
      <c r="S18" s="70"/>
      <c r="T18" s="70"/>
    </row>
    <row r="19" spans="1:20" x14ac:dyDescent="0.3">
      <c r="A19" t="s">
        <v>5</v>
      </c>
      <c r="C19" s="68" t="s">
        <v>99</v>
      </c>
      <c r="D19">
        <f>SUM(I3:I11)</f>
        <v>1.4058070874264656E-3</v>
      </c>
      <c r="H19" s="67"/>
      <c r="I19" s="67"/>
      <c r="J19" s="67"/>
      <c r="K19" s="67"/>
      <c r="L19" s="67"/>
      <c r="M19" s="67"/>
      <c r="O19" s="70"/>
      <c r="P19" s="70"/>
      <c r="Q19" s="70"/>
      <c r="R19" s="70"/>
      <c r="S19" s="70"/>
      <c r="T19" s="70"/>
    </row>
    <row r="20" spans="1:20" x14ac:dyDescent="0.3">
      <c r="A20" t="s">
        <v>44</v>
      </c>
      <c r="B20">
        <f>SUMPRODUCT(B3:B11,$I$3:$I$11)</f>
        <v>0.99999999999999967</v>
      </c>
      <c r="C20" s="68">
        <f>SUMPRODUCT(C3:C11,$I$3:$I$11)</f>
        <v>0.99999999999999978</v>
      </c>
      <c r="D20">
        <f>SUMPRODUCT(D3:D11,$I$3:$I$11)</f>
        <v>1.0180246089746394</v>
      </c>
      <c r="E20">
        <f>SUMPRODUCT(E3:E11,$I$3:$I$11)</f>
        <v>0.99999999999999989</v>
      </c>
      <c r="F20">
        <f>SUMPRODUCT(F3:F11,$I$3:$I$11)</f>
        <v>1.2964797269105379</v>
      </c>
      <c r="H20" s="67"/>
      <c r="I20" s="67"/>
      <c r="J20" s="67"/>
      <c r="K20" s="67"/>
      <c r="L20" s="67"/>
      <c r="M20" s="67"/>
    </row>
    <row r="21" spans="1:20" x14ac:dyDescent="0.3">
      <c r="A21" t="s">
        <v>100</v>
      </c>
      <c r="C21" s="68" t="s">
        <v>101</v>
      </c>
      <c r="D21">
        <f>1/D19</f>
        <v>711.33515326818099</v>
      </c>
      <c r="H21" s="67"/>
      <c r="I21" s="67"/>
      <c r="J21" s="67"/>
      <c r="K21" s="67"/>
      <c r="L21" s="67"/>
      <c r="M21" s="67"/>
    </row>
    <row r="22" spans="1:20" x14ac:dyDescent="0.3">
      <c r="H22" s="67"/>
      <c r="I22" s="67"/>
      <c r="J22" s="67"/>
      <c r="K22" s="67"/>
      <c r="L22" s="67"/>
      <c r="M22" s="67"/>
    </row>
    <row r="23" spans="1:20" x14ac:dyDescent="0.3">
      <c r="A23" s="69" t="s">
        <v>102</v>
      </c>
      <c r="B23" s="69"/>
      <c r="H23" s="67"/>
      <c r="I23" s="67"/>
      <c r="J23" s="67"/>
      <c r="K23" s="67"/>
      <c r="L23" s="67"/>
      <c r="M23" s="67"/>
    </row>
    <row r="24" spans="1:20" x14ac:dyDescent="0.3">
      <c r="A24" t="s">
        <v>103</v>
      </c>
      <c r="H24" s="67"/>
      <c r="I24" s="67"/>
      <c r="J24" s="67"/>
      <c r="K24" s="67"/>
      <c r="L24" s="67"/>
      <c r="M24" s="67"/>
    </row>
    <row r="25" spans="1:20" x14ac:dyDescent="0.3">
      <c r="A25" s="4">
        <v>1.5057320678992317E-4</v>
      </c>
      <c r="B25">
        <f>A25*$D$21</f>
        <v>0.1071080151299915</v>
      </c>
    </row>
    <row r="26" spans="1:20" x14ac:dyDescent="0.3">
      <c r="A26" s="4">
        <v>9.4732634990937065E-4</v>
      </c>
      <c r="B26">
        <f>A26*$D$21</f>
        <v>0.67386653430776866</v>
      </c>
    </row>
    <row r="27" spans="1:20" x14ac:dyDescent="0.3">
      <c r="A27" s="4">
        <v>0</v>
      </c>
      <c r="B27">
        <f>A27*$D$21</f>
        <v>0</v>
      </c>
    </row>
    <row r="28" spans="1:20" x14ac:dyDescent="0.3">
      <c r="A28" s="4">
        <v>3.0790753072717223E-4</v>
      </c>
      <c r="B28">
        <f>A28*$D$21</f>
        <v>0.21902545056224021</v>
      </c>
    </row>
    <row r="29" spans="1:20" ht="15" thickBot="1" x14ac:dyDescent="0.35">
      <c r="A29" s="5">
        <v>0</v>
      </c>
      <c r="B29">
        <f>A29*$D$21</f>
        <v>0</v>
      </c>
    </row>
    <row r="30" spans="1:20" x14ac:dyDescent="0.3">
      <c r="A30" t="s">
        <v>104</v>
      </c>
      <c r="C30" t="s">
        <v>105</v>
      </c>
      <c r="D30">
        <f>SUM(A25:A29)</f>
        <v>1.405807087426466E-3</v>
      </c>
    </row>
  </sheetData>
  <mergeCells count="5">
    <mergeCell ref="A14:B14"/>
    <mergeCell ref="H14:M24"/>
    <mergeCell ref="A15:B15"/>
    <mergeCell ref="A23:B23"/>
    <mergeCell ref="O14:T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об устойчивости 1</vt:lpstr>
      <vt:lpstr>Задачи 1 - 3</vt:lpstr>
      <vt:lpstr>ЛР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2025-12-24T17:12:52Z</dcterms:created>
  <dcterms:modified xsi:type="dcterms:W3CDTF">2025-12-24T17:14:45Z</dcterms:modified>
</cp:coreProperties>
</file>